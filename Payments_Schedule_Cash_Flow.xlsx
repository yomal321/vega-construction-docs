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My Drive\Vega\Vega_General_Doc\Format\Stagewise_Payment_Schedule\"/>
    </mc:Choice>
  </mc:AlternateContent>
  <xr:revisionPtr revIDLastSave="0" documentId="13_ncr:1_{4F2EDA4D-F379-4C69-90D3-EE8F1AFDA27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1 (2)" sheetId="3" r:id="rId2"/>
  </sheets>
  <definedNames>
    <definedName name="_xlnm.Print_Area" localSheetId="0">Sheet1!$A$1:$E$16</definedName>
    <definedName name="_xlnm.Print_Area" localSheetId="1">'Sheet1 (2)'!$A$1:$G$12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G9" i="3" l="1"/>
  <c r="G7" i="3"/>
  <c r="G5" i="3"/>
  <c r="G11" i="3" s="1"/>
  <c r="F9" i="3"/>
  <c r="F7" i="3"/>
  <c r="F5" i="3"/>
  <c r="F11" i="3" s="1"/>
  <c r="E9" i="3"/>
  <c r="E7" i="3"/>
  <c r="E5" i="3"/>
  <c r="E11" i="3" s="1"/>
  <c r="D5" i="3"/>
  <c r="D7" i="3"/>
  <c r="D9" i="3"/>
  <c r="C14" i="1"/>
  <c r="D11" i="3" l="1"/>
</calcChain>
</file>

<file path=xl/sharedStrings.xml><?xml version="1.0" encoding="utf-8"?>
<sst xmlns="http://schemas.openxmlformats.org/spreadsheetml/2006/main" count="25" uniqueCount="20">
  <si>
    <t>PROPOSED HOUSE FOR
MR. H.J.M. SAMAN PRASANNA AT MIRIGAMA</t>
  </si>
  <si>
    <t>STAGES</t>
  </si>
  <si>
    <t>AMOUNT</t>
  </si>
  <si>
    <t>START</t>
  </si>
  <si>
    <t>COMPLETION</t>
  </si>
  <si>
    <t>STAGE-01</t>
  </si>
  <si>
    <t>STAGE-02</t>
  </si>
  <si>
    <t>STAGE-03</t>
  </si>
  <si>
    <t>STAGE-04</t>
  </si>
  <si>
    <t>ITEM</t>
  </si>
  <si>
    <t>CASHFLOW</t>
  </si>
  <si>
    <t>TOTAL AMOUNT</t>
  </si>
  <si>
    <t>ADVANCE PAYMENT</t>
  </si>
  <si>
    <t>INTERIM PAYMENT</t>
  </si>
  <si>
    <t>FINAL PAYMENT</t>
  </si>
  <si>
    <t>PERCENTAGE</t>
  </si>
  <si>
    <t>STAGEWISE PAYMENTS</t>
  </si>
  <si>
    <t>PAYMENT NO</t>
  </si>
  <si>
    <t>PAYMENT 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</si>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</sst>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name val="Times New Roman"/>
      <family val="1"/>
    </font>
    <font>
      <b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7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left"/>
    </xf>
    <xf numFmtId="9" fontId="0" fillId="0" borderId="0" xfId="2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0" applyNumberFormat="1"/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/>
    </xf>
    <xf numFmtId="9" fontId="6" fillId="0" borderId="0" xfId="2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0"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439616</xdr:colOff>
      <xdr:row>4</xdr:row>
      <xdr:rowOff>131885</xdr:rowOff>
    </xdr:from>
    <xdr:ext cx="2482539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EC0ECB9-7E2A-42E9-8627-69AD67134DF3}"/>
            </a:ext>
          </a:extLst>
        </xdr:cNvPr>
        <xdr:cNvSpPr/>
      </xdr:nvSpPr>
      <xdr:spPr>
        <a:xfrm>
          <a:off x="1201616" y="1289539"/>
          <a:ext cx="248253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SAMPLE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1228396</xdr:colOff>
      <xdr:row>5</xdr:row>
      <xdr:rowOff>13138</xdr:rowOff>
    </xdr:from>
    <xdr:ext cx="2482539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DE611C-1EC3-4862-8D36-103BEA94EF1E}"/>
            </a:ext>
          </a:extLst>
        </xdr:cNvPr>
        <xdr:cNvSpPr/>
      </xdr:nvSpPr>
      <xdr:spPr>
        <a:xfrm>
          <a:off x="1990396" y="1556845"/>
          <a:ext cx="248253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SAMPLE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E15" totalsRowShown="0" headerRowDxfId="9">
  <autoFilter ref="A5:E15" xr:uid="{00000000-0009-0000-0100-000001000000}"/>
  <tableColumns count="5">
    <tableColumn id="1" xr3:uid="{00000000-0010-0000-0000-000001000000}" name="ITEM" dataDxfId="8"/>
    <tableColumn id="2" xr3:uid="{00000000-0010-0000-0000-000002000000}" name="STAGES" dataDxfId="7"/>
    <tableColumn id="3" xr3:uid="{00000000-0010-0000-0000-000003000000}" name="AMOUNT" dataDxfId="6" dataCellStyle="Comma"/>
    <tableColumn id="4" xr3:uid="{00000000-0010-0000-0000-000004000000}" name="START"/>
    <tableColumn id="5" xr3:uid="{00000000-0010-0000-0000-000005000000}" name="COMPLE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5" displayName="Table25" ref="A4:G11" totalsRowShown="0">
  <autoFilter ref="A4:G11" xr:uid="{00000000-0009-0000-0100-000004000000}"/>
  <tableColumns count="7">
    <tableColumn id="1" xr3:uid="{00000000-0010-0000-0100-000001000000}" name="PAYMENT NO" dataDxfId="5"/>
    <tableColumn id="2" xr3:uid="{00000000-0010-0000-0100-000002000000}" name="PAYMENT TYPE" dataDxfId="4"/>
    <tableColumn id="3" xr3:uid="{00000000-0010-0000-0100-000003000000}" name="PERCENTAGE" dataDxfId="3" dataCellStyle="Percent"/>
    <tableColumn id="4" xr3:uid="{00000000-0010-0000-0100-000004000000}" name="STAGE-01" dataDxfId="2">
      <calculatedColumnFormula>Sheet1!C6*0.5</calculatedColumnFormula>
    </tableColumn>
    <tableColumn id="5" xr3:uid="{00000000-0010-0000-0100-000005000000}" name="STAGE-02" dataDxfId="1">
      <calculatedColumnFormula>6797810.33*0.5</calculatedColumnFormula>
    </tableColumn>
    <tableColumn id="6" xr3:uid="{00000000-0010-0000-0100-000006000000}" name="STAGE-03" dataDxfId="0">
      <calculatedColumnFormula>6987737.51*0.5</calculatedColumnFormula>
    </tableColumn>
    <tableColumn id="7" xr3:uid="{00000000-0010-0000-0100-000007000000}" name="STAGE-04" dataCellStyle="Comma">
      <calculatedColumnFormula>1152498.54*0.5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view="pageBreakPreview" zoomScale="130" zoomScaleNormal="130" zoomScaleSheetLayoutView="130" workbookViewId="0">
      <selection activeCell="B8" sqref="B8"/>
    </sheetView>
  </sheetViews>
  <sheetFormatPr defaultRowHeight="15" x14ac:dyDescent="0.25"/>
  <cols>
    <col min="1" max="1" width="11.42578125" style="1" customWidth="1"/>
    <col min="2" max="2" width="19" customWidth="1"/>
    <col min="3" max="3" width="15.42578125" customWidth="1"/>
    <col min="4" max="4" width="11.85546875" customWidth="1"/>
    <col min="5" max="5" width="17.5703125" customWidth="1"/>
  </cols>
  <sheetData>
    <row r="1" spans="1:8" ht="40.5" customHeight="1" x14ac:dyDescent="0.3">
      <c r="A1" s="18" t="s">
        <v>0</v>
      </c>
      <c r="B1" s="18"/>
      <c r="C1" s="18"/>
      <c r="D1" s="18"/>
      <c r="E1" s="18"/>
      <c r="F1" s="4"/>
      <c r="G1" s="4"/>
      <c r="H1" s="4"/>
    </row>
    <row r="4" spans="1:8" ht="21" customHeight="1" x14ac:dyDescent="0.25">
      <c r="A4" s="19" t="s">
        <v>10</v>
      </c>
      <c r="B4" s="19"/>
      <c r="C4" s="19"/>
      <c r="D4" s="19"/>
      <c r="E4" s="19"/>
    </row>
    <row r="5" spans="1:8" s="6" customFormat="1" x14ac:dyDescent="0.25">
      <c r="A5" s="5" t="s">
        <v>9</v>
      </c>
      <c r="B5" s="5" t="s">
        <v>1</v>
      </c>
      <c r="C5" s="5" t="s">
        <v>2</v>
      </c>
      <c r="D5" s="5" t="s">
        <v>3</v>
      </c>
      <c r="E5" s="5" t="s">
        <v>4</v>
      </c>
    </row>
    <row r="6" spans="1:8" x14ac:dyDescent="0.25">
      <c r="A6" s="1">
        <v>1</v>
      </c>
      <c r="B6" s="1" t="s">
        <v>5</v>
      </c>
      <c r="C6" s="7">
        <v>3534685.5</v>
      </c>
      <c r="D6" s="3">
        <v>45474</v>
      </c>
    </row>
    <row r="7" spans="1:8" x14ac:dyDescent="0.25">
      <c r="B7" s="1"/>
      <c r="C7" s="7"/>
    </row>
    <row r="8" spans="1:8" x14ac:dyDescent="0.25">
      <c r="A8" s="1">
        <v>2</v>
      </c>
      <c r="B8" s="1" t="s">
        <v>6</v>
      </c>
      <c r="C8" s="7">
        <v>6797810.3300000001</v>
      </c>
    </row>
    <row r="9" spans="1:8" x14ac:dyDescent="0.25">
      <c r="B9" s="1"/>
      <c r="C9" s="7"/>
    </row>
    <row r="10" spans="1:8" x14ac:dyDescent="0.25">
      <c r="A10" s="1">
        <v>3</v>
      </c>
      <c r="B10" s="1" t="s">
        <v>7</v>
      </c>
      <c r="C10" s="7">
        <v>6987737.5099999998</v>
      </c>
    </row>
    <row r="11" spans="1:8" x14ac:dyDescent="0.25">
      <c r="B11" s="1"/>
      <c r="C11" s="7"/>
    </row>
    <row r="12" spans="1:8" x14ac:dyDescent="0.25">
      <c r="A12" s="1">
        <v>4</v>
      </c>
      <c r="B12" s="1" t="s">
        <v>8</v>
      </c>
      <c r="C12" s="7">
        <v>1152498.54</v>
      </c>
      <c r="E12" s="3">
        <v>45689</v>
      </c>
    </row>
    <row r="13" spans="1:8" x14ac:dyDescent="0.25">
      <c r="B13" s="1"/>
      <c r="C13" s="7"/>
    </row>
    <row r="14" spans="1:8" x14ac:dyDescent="0.25">
      <c r="A14" s="5"/>
      <c r="B14" s="5" t="s">
        <v>11</v>
      </c>
      <c r="C14" s="8">
        <f>SUBTOTAL(109,C6:C13)</f>
        <v>18472731.879999999</v>
      </c>
      <c r="D14" s="6"/>
      <c r="E14" s="6"/>
    </row>
    <row r="15" spans="1:8" x14ac:dyDescent="0.25">
      <c r="B15" s="1"/>
      <c r="C15" s="7"/>
    </row>
  </sheetData>
  <mergeCells count="2">
    <mergeCell ref="A1:E1"/>
    <mergeCell ref="A4:E4"/>
  </mergeCells>
  <printOptions horizontalCentered="1" verticalCentered="1"/>
  <pageMargins left="0.7" right="0.7" top="0.56999999999999995" bottom="0.98" header="0.3" footer="0.3"/>
  <pageSetup scale="125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view="pageBreakPreview" zoomScale="145" zoomScaleNormal="130" zoomScaleSheetLayoutView="145" workbookViewId="0">
      <selection activeCell="D8" sqref="D8"/>
    </sheetView>
  </sheetViews>
  <sheetFormatPr defaultRowHeight="15" x14ac:dyDescent="0.25"/>
  <cols>
    <col min="1" max="1" width="11.42578125" style="1" customWidth="1"/>
    <col min="2" max="2" width="19" customWidth="1"/>
    <col min="3" max="3" width="12.42578125" customWidth="1"/>
    <col min="4" max="5" width="13.28515625" bestFit="1" customWidth="1"/>
    <col min="6" max="6" width="14.42578125" customWidth="1"/>
    <col min="7" max="7" width="15.140625" style="2" customWidth="1"/>
  </cols>
  <sheetData>
    <row r="1" spans="1:8" ht="40.5" customHeight="1" x14ac:dyDescent="0.3">
      <c r="A1" s="18" t="s">
        <v>0</v>
      </c>
      <c r="B1" s="18"/>
      <c r="C1" s="18"/>
      <c r="D1" s="18"/>
      <c r="E1" s="18"/>
      <c r="F1" s="18"/>
      <c r="G1" s="18"/>
      <c r="H1" s="4"/>
    </row>
    <row r="3" spans="1:8" ht="21" customHeight="1" x14ac:dyDescent="0.25">
      <c r="A3" s="20" t="s">
        <v>16</v>
      </c>
      <c r="B3" s="20"/>
      <c r="C3" s="20"/>
      <c r="D3" s="20"/>
      <c r="E3" s="20"/>
      <c r="F3" s="20"/>
      <c r="G3" s="20"/>
    </row>
    <row r="4" spans="1:8" ht="30" x14ac:dyDescent="0.25">
      <c r="A4" s="11" t="s">
        <v>17</v>
      </c>
      <c r="B4" s="13" t="s">
        <v>18</v>
      </c>
      <c r="C4" s="12" t="s">
        <v>15</v>
      </c>
      <c r="D4" s="12" t="s">
        <v>5</v>
      </c>
      <c r="E4" s="12" t="s">
        <v>6</v>
      </c>
      <c r="F4" s="12" t="s">
        <v>7</v>
      </c>
      <c r="G4" s="15" t="s">
        <v>8</v>
      </c>
    </row>
    <row r="5" spans="1:8" x14ac:dyDescent="0.25">
      <c r="A5" s="1">
        <v>1</v>
      </c>
      <c r="B5" s="9" t="s">
        <v>12</v>
      </c>
      <c r="C5" s="16">
        <v>0.5</v>
      </c>
      <c r="D5" s="14">
        <f>Sheet1!C6*0.5</f>
        <v>1767342.75</v>
      </c>
      <c r="E5" s="14">
        <f t="shared" ref="E5" si="0">6797810.33*0.5</f>
        <v>3398905.165</v>
      </c>
      <c r="F5" s="2">
        <f t="shared" ref="F5" si="1">6987737.51*0.5</f>
        <v>3493868.7549999999</v>
      </c>
      <c r="G5" s="2">
        <f t="shared" ref="G5" si="2">1152498.54*0.5</f>
        <v>576249.27</v>
      </c>
    </row>
    <row r="6" spans="1:8" x14ac:dyDescent="0.25">
      <c r="B6" s="9"/>
      <c r="C6" s="1"/>
      <c r="D6" s="14"/>
      <c r="E6" s="14"/>
    </row>
    <row r="7" spans="1:8" x14ac:dyDescent="0.25">
      <c r="A7" s="1">
        <v>2</v>
      </c>
      <c r="B7" s="9" t="s">
        <v>13</v>
      </c>
      <c r="C7" s="16">
        <v>0.25</v>
      </c>
      <c r="D7" s="14">
        <f>Sheet1!C6*0.25</f>
        <v>883671.375</v>
      </c>
      <c r="E7" s="14">
        <f>6797810.33*0.25</f>
        <v>1699452.5825</v>
      </c>
      <c r="F7" s="2">
        <f>6987737.51*0.25</f>
        <v>1746934.3774999999</v>
      </c>
      <c r="G7" s="2">
        <f>1152498.54*0.25</f>
        <v>288124.63500000001</v>
      </c>
    </row>
    <row r="8" spans="1:8" x14ac:dyDescent="0.25">
      <c r="B8" s="9"/>
      <c r="C8" s="1"/>
      <c r="D8" s="14"/>
      <c r="E8" s="14"/>
    </row>
    <row r="9" spans="1:8" x14ac:dyDescent="0.25">
      <c r="A9" s="1">
        <v>3</v>
      </c>
      <c r="B9" s="9" t="s">
        <v>14</v>
      </c>
      <c r="C9" s="16">
        <v>0.25</v>
      </c>
      <c r="D9" s="14">
        <f>Sheet1!C6*0.25</f>
        <v>883671.375</v>
      </c>
      <c r="E9" s="14">
        <f>6797810.33*0.25</f>
        <v>1699452.5825</v>
      </c>
      <c r="F9" s="2">
        <f>6987737.51*0.25</f>
        <v>1746934.3774999999</v>
      </c>
      <c r="G9" s="2">
        <f>1152498.54*0.25</f>
        <v>288124.63500000001</v>
      </c>
    </row>
    <row r="10" spans="1:8" x14ac:dyDescent="0.25">
      <c r="B10" s="9"/>
      <c r="C10" s="10"/>
      <c r="D10" s="2"/>
      <c r="E10" s="2"/>
      <c r="F10" s="2"/>
    </row>
    <row r="11" spans="1:8" x14ac:dyDescent="0.25">
      <c r="B11" s="5" t="s">
        <v>19</v>
      </c>
      <c r="C11" s="17">
        <f>SUBTOTAL(109,C5:C10)</f>
        <v>1</v>
      </c>
      <c r="D11" s="14">
        <f>SUBTOTAL(109,D5:D10)</f>
        <v>3534685.5</v>
      </c>
      <c r="E11" s="14">
        <f>SUBTOTAL(109,E5:E10)</f>
        <v>6797810.3300000001</v>
      </c>
      <c r="F11" s="14">
        <f>SUBTOTAL(109,F5:F10)</f>
        <v>6987737.5099999998</v>
      </c>
      <c r="G11" s="14">
        <f>SUBTOTAL(109,G5:G10)</f>
        <v>1152498.54</v>
      </c>
    </row>
  </sheetData>
  <mergeCells count="2">
    <mergeCell ref="A3:G3"/>
    <mergeCell ref="A1:G1"/>
  </mergeCells>
  <printOptions horizontalCentered="1" verticalCentered="1"/>
  <pageMargins left="0.44" right="0.39" top="0.75" bottom="2.67" header="0.3" footer="0.3"/>
  <pageSetup scale="125" orientation="landscape" r:id="rId1"/>
  <ignoredErrors>
    <ignoredError sqref="D9 D7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shivahettiarachchi@gmail.com</cp:lastModifiedBy>
  <cp:lastPrinted>2024-08-21T18:11:16Z</cp:lastPrinted>
  <dcterms:created xsi:type="dcterms:W3CDTF">2024-08-21T17:27:41Z</dcterms:created>
  <dcterms:modified xsi:type="dcterms:W3CDTF">2026-06-13T09:43:19Z</dcterms:modified>
</cp:coreProperties>
</file>