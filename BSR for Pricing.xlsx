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 tabRatio="609" firstSheet="7" activeTab="17"/>
  </bookViews>
  <sheets>
    <sheet name="Basic Prices" sheetId="22" r:id="rId1"/>
    <sheet name="Basic Rates" sheetId="4" r:id="rId2"/>
    <sheet name="Activity" sheetId="21" r:id="rId3"/>
    <sheet name="01" sheetId="1" r:id="rId4"/>
    <sheet name="02" sheetId="7" r:id="rId5"/>
    <sheet name="03" sheetId="6" r:id="rId6"/>
    <sheet name="04" sheetId="13" r:id="rId7"/>
    <sheet name="05" sheetId="8" r:id="rId8"/>
    <sheet name="06" sheetId="9" r:id="rId9"/>
    <sheet name="07" sheetId="10" r:id="rId10"/>
    <sheet name="08" sheetId="12" r:id="rId11"/>
    <sheet name="09" sheetId="11" r:id="rId12"/>
    <sheet name="10" sheetId="15" r:id="rId13"/>
    <sheet name="11" sheetId="16" r:id="rId14"/>
    <sheet name="12" sheetId="19" r:id="rId15"/>
    <sheet name="14" sheetId="14" r:id="rId16"/>
    <sheet name="13" sheetId="17" r:id="rId17"/>
    <sheet name="15" sheetId="23" r:id="rId18"/>
    <sheet name="16" sheetId="18" r:id="rId19"/>
  </sheets>
  <definedNames>
    <definedName name="_xlnm._FilterDatabase" localSheetId="0" hidden="1">'Basic Prices'!$A$5:$J$207</definedName>
    <definedName name="_xlnm.Print_Area" localSheetId="3">'01'!$A$67:$H$152</definedName>
    <definedName name="_xlnm.Print_Area" localSheetId="4">'02'!$A$1:$H$40</definedName>
    <definedName name="_xlnm.Print_Area" localSheetId="7">'05'!$A$1:$H$151</definedName>
    <definedName name="_xlnm.Print_Area" localSheetId="8">'06'!$A$10:$H$141</definedName>
    <definedName name="_xlnm.Print_Area" localSheetId="1">'Basic Rates'!$A$1:$P$179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<sst xmlns="http://schemas.openxmlformats.org/spreadsheetml/2006/main" count="7708" uniqueCount="1197">
  <si>
    <t>BASIC PRICES</t>
  </si>
  <si>
    <t>Trade</t>
  </si>
  <si>
    <t xml:space="preserve">Materials </t>
  </si>
  <si>
    <t>Labour</t>
  </si>
  <si>
    <t>Plant</t>
  </si>
  <si>
    <t>Description</t>
  </si>
  <si>
    <t>Unit</t>
  </si>
  <si>
    <t>Basic Price</t>
  </si>
  <si>
    <t>EXCAVATION</t>
  </si>
  <si>
    <t>Dry hard earth with transport cost</t>
  </si>
  <si>
    <t>cube.</t>
  </si>
  <si>
    <t xml:space="preserve">Skilled </t>
  </si>
  <si>
    <t>day</t>
  </si>
  <si>
    <t>Tractor</t>
  </si>
  <si>
    <t>Quarry dust with transport cost</t>
  </si>
  <si>
    <t>1 1/2" thick plank (class 11)</t>
  </si>
  <si>
    <t>S. ft</t>
  </si>
  <si>
    <t>Un skilled</t>
  </si>
  <si>
    <t>2" x 4" joist (class 11)</t>
  </si>
  <si>
    <t>L. ft</t>
  </si>
  <si>
    <t>2" x 6" joist (class 11)</t>
  </si>
  <si>
    <t>Wire nails</t>
  </si>
  <si>
    <t>kg.</t>
  </si>
  <si>
    <t>CONCRETE</t>
  </si>
  <si>
    <t>Cement</t>
  </si>
  <si>
    <t>bag</t>
  </si>
  <si>
    <t>Skilled Labour</t>
  </si>
  <si>
    <t>Concrete Mixer</t>
  </si>
  <si>
    <t>Sand</t>
  </si>
  <si>
    <t>Un Skilled Labour</t>
  </si>
  <si>
    <t>Vibrator</t>
  </si>
  <si>
    <t>Metal 3/4 "</t>
  </si>
  <si>
    <t>Vibrator Operator</t>
  </si>
  <si>
    <t>Metal 1 "</t>
  </si>
  <si>
    <t>Concrete Mixer operator</t>
  </si>
  <si>
    <t>Metal 2 "</t>
  </si>
  <si>
    <t>Water</t>
  </si>
  <si>
    <t>gal.</t>
  </si>
  <si>
    <t>FORM WORK</t>
  </si>
  <si>
    <t>1" thick plank class 11</t>
  </si>
  <si>
    <t>2 " x 4 " class 11</t>
  </si>
  <si>
    <t>2 " x 2 " class 11</t>
  </si>
  <si>
    <t xml:space="preserve">2 " x 1 "  class 11 </t>
  </si>
  <si>
    <t>Mould oil</t>
  </si>
  <si>
    <t>ltr</t>
  </si>
  <si>
    <t>16mm bolt</t>
  </si>
  <si>
    <t>Nr</t>
  </si>
  <si>
    <t>REINFORCEMENT</t>
  </si>
  <si>
    <t>Tor Steel</t>
  </si>
  <si>
    <t>Skilled labour</t>
  </si>
  <si>
    <t>25mm</t>
  </si>
  <si>
    <t>Un skilled labour</t>
  </si>
  <si>
    <t>20mm</t>
  </si>
  <si>
    <t>16mm</t>
  </si>
  <si>
    <t>12mm</t>
  </si>
  <si>
    <t>10mm</t>
  </si>
  <si>
    <t>binding wire</t>
  </si>
  <si>
    <t>Mild steel</t>
  </si>
  <si>
    <t>6mm</t>
  </si>
  <si>
    <t>RUBBLE &amp; CEMENT BLOCKS</t>
  </si>
  <si>
    <t>Rubble</t>
  </si>
  <si>
    <t>cement</t>
  </si>
  <si>
    <t xml:space="preserve">sand </t>
  </si>
  <si>
    <t>water</t>
  </si>
  <si>
    <t>8" thick cemrnt hollow block</t>
  </si>
  <si>
    <t>6" thick cemrnt hollow block</t>
  </si>
  <si>
    <t>4" hick cemrnt hollow block</t>
  </si>
  <si>
    <t>BRICK WORK</t>
  </si>
  <si>
    <t>Bricks</t>
  </si>
  <si>
    <t>WATER PROOFING</t>
  </si>
  <si>
    <t>DPC tar</t>
  </si>
  <si>
    <t>DOORS &amp; WINDOWS</t>
  </si>
  <si>
    <t>4" X 3" Class 1 timber</t>
  </si>
  <si>
    <t>L. ft.</t>
  </si>
  <si>
    <t>Painter</t>
  </si>
  <si>
    <t>4" X 2" Class 1 timber</t>
  </si>
  <si>
    <t>Carpenter</t>
  </si>
  <si>
    <t>11/4 thick plank</t>
  </si>
  <si>
    <t>s. ft.</t>
  </si>
  <si>
    <t>Ply wood door sash      size 3' 0" x 6' 9"</t>
  </si>
  <si>
    <t>1" thick plank 6" wide</t>
  </si>
  <si>
    <t>5mm.glaze sheet.</t>
  </si>
  <si>
    <t>4" Brush</t>
  </si>
  <si>
    <t>Sand paper</t>
  </si>
  <si>
    <t>Wood primer</t>
  </si>
  <si>
    <t>ltr.</t>
  </si>
  <si>
    <t>Enamel paint</t>
  </si>
  <si>
    <t>4" x 3" Butt hinges</t>
  </si>
  <si>
    <t>pair.</t>
  </si>
  <si>
    <t>4" x 2" Butt hinges</t>
  </si>
  <si>
    <t>3/4" brass screws</t>
  </si>
  <si>
    <t>1/2" brass screws</t>
  </si>
  <si>
    <t>6" long barrel bolt</t>
  </si>
  <si>
    <t>12" long barrel bolt</t>
  </si>
  <si>
    <t>Mortice lock</t>
  </si>
  <si>
    <t>Hold fast</t>
  </si>
  <si>
    <t>casement fastner</t>
  </si>
  <si>
    <t>casement stay</t>
  </si>
  <si>
    <t>ROOF</t>
  </si>
  <si>
    <t>1" thick Ginisapu plank</t>
  </si>
  <si>
    <t>3/4" thick Ginisapu plank</t>
  </si>
  <si>
    <t>Class 1 timber</t>
  </si>
  <si>
    <t>c. ft.</t>
  </si>
  <si>
    <t>Calicut tile</t>
  </si>
  <si>
    <t>Calicut pattern ridge tile</t>
  </si>
  <si>
    <t>Half round tile</t>
  </si>
  <si>
    <t>Asbestos roofing sheet</t>
  </si>
  <si>
    <t>Reepers 2" x 1"</t>
  </si>
  <si>
    <t>l. ft.</t>
  </si>
  <si>
    <t>Colouring powder</t>
  </si>
  <si>
    <t>cube</t>
  </si>
  <si>
    <t>Lime</t>
  </si>
  <si>
    <t>" J " bolt</t>
  </si>
  <si>
    <t>Wood preservative</t>
  </si>
  <si>
    <t>3/4" x 9" timber for valance board</t>
  </si>
  <si>
    <t>S. ft.</t>
  </si>
  <si>
    <t>Asbestos close fitting</t>
  </si>
  <si>
    <t>pair</t>
  </si>
  <si>
    <t>Roofing screws</t>
  </si>
  <si>
    <t>Brass screws 11/2</t>
  </si>
  <si>
    <t>FLOOR</t>
  </si>
  <si>
    <t>per day</t>
  </si>
  <si>
    <t>gall.</t>
  </si>
  <si>
    <t>Floor tile   6" x 6"</t>
  </si>
  <si>
    <t>Flor tile   8" x 8"</t>
  </si>
  <si>
    <t xml:space="preserve">Floor tile  12" x 12" </t>
  </si>
  <si>
    <t>Tile grout</t>
  </si>
  <si>
    <t>WALL</t>
  </si>
  <si>
    <t>gal</t>
  </si>
  <si>
    <t>Wall tile  6" x 6"</t>
  </si>
  <si>
    <t>Wall tile  8" x 12"</t>
  </si>
  <si>
    <t>Wall tile  8" x 8"</t>
  </si>
  <si>
    <t>CEILING</t>
  </si>
  <si>
    <t>4" x 2" class 1 timber</t>
  </si>
  <si>
    <t>2" x 2" class 1 timber</t>
  </si>
  <si>
    <t>2" x 1" class 1 timber</t>
  </si>
  <si>
    <t>11/2" x 11/2" cove moulding</t>
  </si>
  <si>
    <t>1/2" x 1/2" beading</t>
  </si>
  <si>
    <t>3/4 " thick timber ceiling plank (lunumidella )</t>
  </si>
  <si>
    <t>Asbestos ceiling sheet</t>
  </si>
  <si>
    <t>Emulsion paint</t>
  </si>
  <si>
    <t>PAINTING</t>
  </si>
  <si>
    <t>Weathersheild paint</t>
  </si>
  <si>
    <t>Brush 4"</t>
  </si>
  <si>
    <t>Acrylic filler</t>
  </si>
  <si>
    <t>PLUMBING</t>
  </si>
  <si>
    <t>PVC Pipe Type 400 (12 ft Standard Length pipes)</t>
  </si>
  <si>
    <t>20mm dia pipe (1/2 ")</t>
  </si>
  <si>
    <t>25mm dia pipe (3/4")</t>
  </si>
  <si>
    <t>32mm dia pipe (1")</t>
  </si>
  <si>
    <t>40mm dia pipe (11/4")</t>
  </si>
  <si>
    <t>50mm dia pipe (11/2")</t>
  </si>
  <si>
    <t>63mm dia pipe (2")</t>
  </si>
  <si>
    <t>75mm dia pipe (21/2")</t>
  </si>
  <si>
    <t>90mm dia pipe (3")</t>
  </si>
  <si>
    <t>PVC Pipe Type 600 (12 ft Standard Length pipes)</t>
  </si>
  <si>
    <t>PVC Pipe Type 1000 (12 ft Standard Length pipes)</t>
  </si>
  <si>
    <t>PVC Pipe fitting - Tee</t>
  </si>
  <si>
    <t>PVC Pipe fitting - Bend</t>
  </si>
  <si>
    <t>PVC Pipe fitting - Elbow</t>
  </si>
  <si>
    <t>PVC Pipe fitting - Value socket</t>
  </si>
  <si>
    <t>PVC Pipe fitting -  Faucet Socket</t>
  </si>
  <si>
    <t>PVC Pipe fitting -  Socket</t>
  </si>
  <si>
    <t>Solvent cement</t>
  </si>
  <si>
    <t>Basic Prices</t>
  </si>
  <si>
    <t>MATERIALS</t>
  </si>
  <si>
    <t>LABOUR</t>
  </si>
  <si>
    <t>PLANT</t>
  </si>
  <si>
    <t>Item No.</t>
  </si>
  <si>
    <t>Code No.</t>
  </si>
  <si>
    <t>Price          ( Rs.)</t>
  </si>
  <si>
    <t>Acid</t>
  </si>
  <si>
    <t>M-001</t>
  </si>
  <si>
    <t>Gal</t>
  </si>
  <si>
    <t>L-001</t>
  </si>
  <si>
    <t>Day</t>
  </si>
  <si>
    <t>Hire of Mixer</t>
  </si>
  <si>
    <t>P-001</t>
  </si>
  <si>
    <t>Anti Corrosive Primer</t>
  </si>
  <si>
    <t>M-002</t>
  </si>
  <si>
    <t>litre</t>
  </si>
  <si>
    <t>Plumber</t>
  </si>
  <si>
    <t>L-002</t>
  </si>
  <si>
    <t>Hire of Vibrator</t>
  </si>
  <si>
    <t>P-002</t>
  </si>
  <si>
    <t>Asbestos Corrugated Sheet</t>
  </si>
  <si>
    <t>M-003</t>
  </si>
  <si>
    <t>Sq.ft</t>
  </si>
  <si>
    <t>SK Labour</t>
  </si>
  <si>
    <t>L-003</t>
  </si>
  <si>
    <t>Vibrating Rammer</t>
  </si>
  <si>
    <t>P-003</t>
  </si>
  <si>
    <t>Barrel Bolt</t>
  </si>
  <si>
    <t>M-004</t>
  </si>
  <si>
    <t>No</t>
  </si>
  <si>
    <t>SK Labour (Vibrator)</t>
  </si>
  <si>
    <t>L-004</t>
  </si>
  <si>
    <t>Binding Wire - 16 BW</t>
  </si>
  <si>
    <t>M-005</t>
  </si>
  <si>
    <t>Lbs</t>
  </si>
  <si>
    <t>Tinker</t>
  </si>
  <si>
    <t>L-005</t>
  </si>
  <si>
    <t>Bitumen</t>
  </si>
  <si>
    <t>M-006</t>
  </si>
  <si>
    <t>Tiler</t>
  </si>
  <si>
    <t>L-006</t>
  </si>
  <si>
    <t>Blasting Powder</t>
  </si>
  <si>
    <t>M-007</t>
  </si>
  <si>
    <t>U / SK  Labourer</t>
  </si>
  <si>
    <t>L-007</t>
  </si>
  <si>
    <t>Blue</t>
  </si>
  <si>
    <t>M-008</t>
  </si>
  <si>
    <t>Ozs</t>
  </si>
  <si>
    <t>L-008</t>
  </si>
  <si>
    <t>Boild Lime</t>
  </si>
  <si>
    <t>M-009</t>
  </si>
  <si>
    <t>Cwt</t>
  </si>
  <si>
    <t>Mason</t>
  </si>
  <si>
    <t>L-009</t>
  </si>
  <si>
    <t>Bolts 16mm 18"</t>
  </si>
  <si>
    <t>M-010</t>
  </si>
  <si>
    <t>Glazier</t>
  </si>
  <si>
    <t>L-010</t>
  </si>
  <si>
    <t>Brass Fanlight Chtches</t>
  </si>
  <si>
    <t>M-011</t>
  </si>
  <si>
    <t xml:space="preserve">Brass Nails - 1 1/2"  </t>
  </si>
  <si>
    <t>M-012</t>
  </si>
  <si>
    <t>Brass Pannel Pins</t>
  </si>
  <si>
    <t>M-013</t>
  </si>
  <si>
    <t>Doz</t>
  </si>
  <si>
    <t>Brass scews - 1"</t>
  </si>
  <si>
    <t>M-014</t>
  </si>
  <si>
    <t>Brass Screws  1 1/2"</t>
  </si>
  <si>
    <t>M-015</t>
  </si>
  <si>
    <t>Brass Screws - 1/2 "</t>
  </si>
  <si>
    <t>M-016</t>
  </si>
  <si>
    <t xml:space="preserve">Brass Screws - 3/4" </t>
  </si>
  <si>
    <t>M-017</t>
  </si>
  <si>
    <t xml:space="preserve">Brass Screws - 4" Long </t>
  </si>
  <si>
    <t>M-018</t>
  </si>
  <si>
    <t>M-019</t>
  </si>
  <si>
    <t xml:space="preserve">Brush - 3" </t>
  </si>
  <si>
    <t>M-020</t>
  </si>
  <si>
    <t xml:space="preserve">Brush - 6" </t>
  </si>
  <si>
    <t>M-021</t>
  </si>
  <si>
    <t>Brush 2"</t>
  </si>
  <si>
    <t>M-022</t>
  </si>
  <si>
    <t>Butt Hinges</t>
  </si>
  <si>
    <t>M-023</t>
  </si>
  <si>
    <t>Casement Fasteners</t>
  </si>
  <si>
    <t>M-024</t>
  </si>
  <si>
    <t>Casement Stays</t>
  </si>
  <si>
    <t>M-025</t>
  </si>
  <si>
    <t>M-026</t>
  </si>
  <si>
    <t>Bag</t>
  </si>
  <si>
    <t xml:space="preserve">Clear Glass panes </t>
  </si>
  <si>
    <t>M-027</t>
  </si>
  <si>
    <t xml:space="preserve">Clips and Nails - 1 " </t>
  </si>
  <si>
    <t>M-028</t>
  </si>
  <si>
    <t xml:space="preserve">Clips and Nails - 1 1/2 " </t>
  </si>
  <si>
    <t>M-029</t>
  </si>
  <si>
    <t xml:space="preserve">Clips and Nails - 1 1/4 " </t>
  </si>
  <si>
    <t>M-030</t>
  </si>
  <si>
    <t xml:space="preserve">Clips and Nails - 2 " </t>
  </si>
  <si>
    <t>M-031</t>
  </si>
  <si>
    <t xml:space="preserve">Clips and Screws - 3 " </t>
  </si>
  <si>
    <t>M-032</t>
  </si>
  <si>
    <t>Clout Nails - 1/4"</t>
  </si>
  <si>
    <t>M-033</t>
  </si>
  <si>
    <t>Coir Brush - 6"</t>
  </si>
  <si>
    <t>M-034</t>
  </si>
  <si>
    <t>Coloured Pigment</t>
  </si>
  <si>
    <t>M-035</t>
  </si>
  <si>
    <t>Colouring Powder</t>
  </si>
  <si>
    <t>M-036</t>
  </si>
  <si>
    <t>Cotton Waste</t>
  </si>
  <si>
    <t>M-037</t>
  </si>
  <si>
    <t>D. D. T. Powder</t>
  </si>
  <si>
    <t>M-038</t>
  </si>
  <si>
    <t xml:space="preserve">Diesel Fuel </t>
  </si>
  <si>
    <t>M-039</t>
  </si>
  <si>
    <t>Ltr</t>
  </si>
  <si>
    <t>Door Closer</t>
  </si>
  <si>
    <t>M-040</t>
  </si>
  <si>
    <t>Draw Rings</t>
  </si>
  <si>
    <t>M-041</t>
  </si>
  <si>
    <t>Earth Delivered at Site</t>
  </si>
  <si>
    <t>M-042</t>
  </si>
  <si>
    <t>Cube</t>
  </si>
  <si>
    <t>Emulsion Paint</t>
  </si>
  <si>
    <t>M-043</t>
  </si>
  <si>
    <t>Enamel Paint</t>
  </si>
  <si>
    <t>M-044</t>
  </si>
  <si>
    <t>Fibre / Plastic Plugs</t>
  </si>
  <si>
    <t>M-045</t>
  </si>
  <si>
    <t>Fire Wood</t>
  </si>
  <si>
    <t>M-046</t>
  </si>
  <si>
    <t>Flannel Cloth</t>
  </si>
  <si>
    <t>M-047</t>
  </si>
  <si>
    <t>Yards</t>
  </si>
  <si>
    <t>Flat Asbestos Ceiling Sheets</t>
  </si>
  <si>
    <t>M-048</t>
  </si>
  <si>
    <t>Floor Brush</t>
  </si>
  <si>
    <t>M-049</t>
  </si>
  <si>
    <t>Fuel Forge</t>
  </si>
  <si>
    <t>M-050</t>
  </si>
  <si>
    <t>Fuse wire</t>
  </si>
  <si>
    <t>M-051</t>
  </si>
  <si>
    <t>L.ft</t>
  </si>
  <si>
    <t>Galvanised iron sheet(8'X4') - 18 B.W.G (1.2 mm)</t>
  </si>
  <si>
    <t>M-052</t>
  </si>
  <si>
    <t>Gravel delivered to site</t>
  </si>
  <si>
    <t>M-053</t>
  </si>
  <si>
    <t>Gutter Brackets</t>
  </si>
  <si>
    <t>M-054</t>
  </si>
  <si>
    <t>Gutter joiner</t>
  </si>
  <si>
    <t>M-055</t>
  </si>
  <si>
    <t>Half Round Clay Tiles</t>
  </si>
  <si>
    <t>M-056</t>
  </si>
  <si>
    <t xml:space="preserve">Hollow Cement Block - 8" thk. </t>
  </si>
  <si>
    <t>M-057</t>
  </si>
  <si>
    <t xml:space="preserve">Hollow Cement Blocks - 4" thk. </t>
  </si>
  <si>
    <t>M-058</t>
  </si>
  <si>
    <t xml:space="preserve">Hollow Cement Blocks - 6" thk. </t>
  </si>
  <si>
    <t>M-059</t>
  </si>
  <si>
    <t>Iron Nails - 1 1/2</t>
  </si>
  <si>
    <t>M-060</t>
  </si>
  <si>
    <t>Kg.</t>
  </si>
  <si>
    <t xml:space="preserve">Iron Screws - 3/4" </t>
  </si>
  <si>
    <t>M-061</t>
  </si>
  <si>
    <t>Jumper Steel</t>
  </si>
  <si>
    <t>M-062</t>
  </si>
  <si>
    <t>Jute Hessian</t>
  </si>
  <si>
    <t>M-063</t>
  </si>
  <si>
    <t xml:space="preserve">Metal - 1 " </t>
  </si>
  <si>
    <t>M-064</t>
  </si>
  <si>
    <t>Metal - 1 1/2 "</t>
  </si>
  <si>
    <t>M-065</t>
  </si>
  <si>
    <t xml:space="preserve">Metal - 3/4 " </t>
  </si>
  <si>
    <t>M-066</t>
  </si>
  <si>
    <t>Mild Steel Dowels - 5/8" , 4" Long.</t>
  </si>
  <si>
    <t>M-067</t>
  </si>
  <si>
    <t>Mild Steel Rods including transport to site</t>
  </si>
  <si>
    <t>M-068</t>
  </si>
  <si>
    <t>Mineral Turpentine or Thinner</t>
  </si>
  <si>
    <t>M-069</t>
  </si>
  <si>
    <t>Mortice lock with screws</t>
  </si>
  <si>
    <t>M-070</t>
  </si>
  <si>
    <t>Mould Oil</t>
  </si>
  <si>
    <t>M-071</t>
  </si>
  <si>
    <t xml:space="preserve">Nails - 2" </t>
  </si>
  <si>
    <t>M-072</t>
  </si>
  <si>
    <t>Nails - 3/4"</t>
  </si>
  <si>
    <t>M-073</t>
  </si>
  <si>
    <t xml:space="preserve">Plywood Sash - 6' 9" X 2' 9" </t>
  </si>
  <si>
    <t>M-074</t>
  </si>
  <si>
    <t>Primer</t>
  </si>
  <si>
    <t>M-075</t>
  </si>
  <si>
    <t xml:space="preserve">PVC  Elbows / Bent / Socket - 3/4" </t>
  </si>
  <si>
    <t>M-076</t>
  </si>
  <si>
    <t xml:space="preserve">PVC  Sockets - 1"  </t>
  </si>
  <si>
    <t>M-077</t>
  </si>
  <si>
    <t>PVC down pipes - 12' length</t>
  </si>
  <si>
    <t>M-078</t>
  </si>
  <si>
    <t>PVC elbow - for rainwater down pipes.</t>
  </si>
  <si>
    <t>M-079</t>
  </si>
  <si>
    <t xml:space="preserve">PVC Elbows / Bent / Socket - 1 1/2" </t>
  </si>
  <si>
    <t>M-080</t>
  </si>
  <si>
    <t xml:space="preserve">PVC Elbows / Bent / Socket - 1 1/4" </t>
  </si>
  <si>
    <t>M-081</t>
  </si>
  <si>
    <t xml:space="preserve">PVC Elbows / Bent / Socket - 1"  </t>
  </si>
  <si>
    <t>M-082</t>
  </si>
  <si>
    <t xml:space="preserve">PVC Elbows / Bent / Socket - 1/2"  </t>
  </si>
  <si>
    <t>M-083</t>
  </si>
  <si>
    <t xml:space="preserve">PVC Elbows / Bent / Socket - 2 1/2"  </t>
  </si>
  <si>
    <t>M-084</t>
  </si>
  <si>
    <t xml:space="preserve">PVC Elbows / Bent / Socket - 2"  </t>
  </si>
  <si>
    <t>M-085</t>
  </si>
  <si>
    <t xml:space="preserve">PVC Elbows / Bent / Socket - 3"  </t>
  </si>
  <si>
    <t>M-086</t>
  </si>
  <si>
    <t>PVC End cap</t>
  </si>
  <si>
    <t>M-087</t>
  </si>
  <si>
    <t>PVC gutter - 12' length</t>
  </si>
  <si>
    <t>M-088</t>
  </si>
  <si>
    <t>PVC gutter head - 6"</t>
  </si>
  <si>
    <t>M-089</t>
  </si>
  <si>
    <t>PVC joiner - 3 1/2"</t>
  </si>
  <si>
    <t>M-090</t>
  </si>
  <si>
    <t>PVC mitre bend 6" dia</t>
  </si>
  <si>
    <t>M-091</t>
  </si>
  <si>
    <t>PVC Pipes - 1 1/2"</t>
  </si>
  <si>
    <t>M-092</t>
  </si>
  <si>
    <t>PVC Pipes - 1 1/4"</t>
  </si>
  <si>
    <t>M-093</t>
  </si>
  <si>
    <t xml:space="preserve">PVC Pipes - 1" </t>
  </si>
  <si>
    <t>M-094</t>
  </si>
  <si>
    <t xml:space="preserve">PVC Pipes - 1/2" </t>
  </si>
  <si>
    <t>M-095</t>
  </si>
  <si>
    <t>PVC Pipes - 2"</t>
  </si>
  <si>
    <t>M-096</t>
  </si>
  <si>
    <t>PVC Pipes - 3"</t>
  </si>
  <si>
    <t>M-097</t>
  </si>
  <si>
    <t>PVC Pipes - 3/4"</t>
  </si>
  <si>
    <t>M-098</t>
  </si>
  <si>
    <t>PVC Shoe</t>
  </si>
  <si>
    <t>M-099</t>
  </si>
  <si>
    <t xml:space="preserve">PVC Sockets - 1 1/2"   </t>
  </si>
  <si>
    <t>M-100</t>
  </si>
  <si>
    <t xml:space="preserve">PVC Sockets - 1 1/4"   </t>
  </si>
  <si>
    <t>M-101</t>
  </si>
  <si>
    <t xml:space="preserve">PVC Sockets - 2"   </t>
  </si>
  <si>
    <t>M-102</t>
  </si>
  <si>
    <t xml:space="preserve">PVC Sockets - 3"  </t>
  </si>
  <si>
    <t>M-103</t>
  </si>
  <si>
    <t>PVC Straps</t>
  </si>
  <si>
    <t>M-104</t>
  </si>
  <si>
    <t>Ridge Tiles (calicut)</t>
  </si>
  <si>
    <t>M-105</t>
  </si>
  <si>
    <t>Ridges 3' 8" Long (Asbestos)</t>
  </si>
  <si>
    <t>M-106</t>
  </si>
  <si>
    <t>Pair</t>
  </si>
  <si>
    <t>Rim Lock with Screws</t>
  </si>
  <si>
    <t>M-107</t>
  </si>
  <si>
    <t>Roof tiles - calicut</t>
  </si>
  <si>
    <t>M-108</t>
  </si>
  <si>
    <t>Roofing Screws and Washers</t>
  </si>
  <si>
    <t>M-109</t>
  </si>
  <si>
    <t>Roofing Screws or Bolts</t>
  </si>
  <si>
    <t>M-110</t>
  </si>
  <si>
    <t xml:space="preserve">Rubble - 6" - 9" </t>
  </si>
  <si>
    <t>M-111</t>
  </si>
  <si>
    <t>Salt</t>
  </si>
  <si>
    <t>M-112</t>
  </si>
  <si>
    <t>M-113</t>
  </si>
  <si>
    <t>Sand Papers</t>
  </si>
  <si>
    <t>M-114</t>
  </si>
  <si>
    <t>Slaked Lime</t>
  </si>
  <si>
    <t>M-115</t>
  </si>
  <si>
    <t>Soldering Lead</t>
  </si>
  <si>
    <t>M-116</t>
  </si>
  <si>
    <t>Solvent Cement</t>
  </si>
  <si>
    <t>M-117</t>
  </si>
  <si>
    <t>Grms</t>
  </si>
  <si>
    <t>Spur Stone</t>
  </si>
  <si>
    <t>M-118</t>
  </si>
  <si>
    <t>Tarnap</t>
  </si>
  <si>
    <t>M-119</t>
  </si>
  <si>
    <t>Tee - 1 " Dia</t>
  </si>
  <si>
    <t>M-120</t>
  </si>
  <si>
    <t xml:space="preserve">Tee - 1 1/2 " Dia </t>
  </si>
  <si>
    <t>M-121</t>
  </si>
  <si>
    <t xml:space="preserve">Tee - 1/2 " Dia  </t>
  </si>
  <si>
    <t>M-122</t>
  </si>
  <si>
    <t xml:space="preserve">Tee - 2 " Dia </t>
  </si>
  <si>
    <t>M-123</t>
  </si>
  <si>
    <t xml:space="preserve">Tee - 2 1/2" Dia </t>
  </si>
  <si>
    <t>M-124</t>
  </si>
  <si>
    <t xml:space="preserve">Tee - 3 " Dia </t>
  </si>
  <si>
    <t>M-125</t>
  </si>
  <si>
    <t xml:space="preserve">Tee - 3/4 " Dia </t>
  </si>
  <si>
    <t>M-126</t>
  </si>
  <si>
    <t xml:space="preserve">Tee - Dia 1 1/4 " </t>
  </si>
  <si>
    <t>M-127</t>
  </si>
  <si>
    <t>Tee Hinges</t>
  </si>
  <si>
    <t>M-128</t>
  </si>
  <si>
    <t>Tiles Pressed  - 12" X 12"</t>
  </si>
  <si>
    <t>M-129</t>
  </si>
  <si>
    <t>Tiles Pressed  - 8" X 8"</t>
  </si>
  <si>
    <t>M-130</t>
  </si>
  <si>
    <t>Tiles Terrazzo -  6" X 6"</t>
  </si>
  <si>
    <t>M-131</t>
  </si>
  <si>
    <t>Tiles Terrazzo - 12" X 12"</t>
  </si>
  <si>
    <t>M-132</t>
  </si>
  <si>
    <t xml:space="preserve">Timber Beading - 1/2" X 1/2" </t>
  </si>
  <si>
    <t>M-133</t>
  </si>
  <si>
    <t>Timber Beadings - 1 1/2"X1/2" (Halmilla)</t>
  </si>
  <si>
    <t>M-134</t>
  </si>
  <si>
    <t xml:space="preserve">Timber Ceiling Plank - 6"x3/4" (Lunumidella) </t>
  </si>
  <si>
    <t>M-135</t>
  </si>
  <si>
    <t>Timber Class I</t>
  </si>
  <si>
    <t>M-136</t>
  </si>
  <si>
    <t>Cu.ft</t>
  </si>
  <si>
    <t xml:space="preserve">Timber Class I  - 3" x 1'1/2" </t>
  </si>
  <si>
    <t>M-137</t>
  </si>
  <si>
    <t xml:space="preserve">Timber Class I - 4"X3"  </t>
  </si>
  <si>
    <t>M-138</t>
  </si>
  <si>
    <t xml:space="preserve">Timber Class I Planks - 1 1/2"  </t>
  </si>
  <si>
    <t>M-139</t>
  </si>
  <si>
    <t>139a</t>
  </si>
  <si>
    <t xml:space="preserve">Timber Class I Planks - 1"  </t>
  </si>
  <si>
    <t>M-139a</t>
  </si>
  <si>
    <t xml:space="preserve">Timber Class II </t>
  </si>
  <si>
    <t>M-140</t>
  </si>
  <si>
    <t xml:space="preserve">Timber Class II  - 1" Thick </t>
  </si>
  <si>
    <t>M-141</t>
  </si>
  <si>
    <t xml:space="preserve">Timber Class II  - 2" x 1" </t>
  </si>
  <si>
    <t>M-142</t>
  </si>
  <si>
    <t xml:space="preserve">Timber Class II  - 2" x 2" </t>
  </si>
  <si>
    <t>M-143</t>
  </si>
  <si>
    <t>Timber class II - 4"X 2"</t>
  </si>
  <si>
    <t>M-144</t>
  </si>
  <si>
    <t>Timber Cove Molding - 2"X2" (Halmilla)</t>
  </si>
  <si>
    <t>M-145</t>
  </si>
  <si>
    <t xml:space="preserve">Timber ceiling Joists - 4" x 2" </t>
  </si>
  <si>
    <t>M-146</t>
  </si>
  <si>
    <t>Timber Planks - 1" (Valance board)</t>
  </si>
  <si>
    <t>M-147</t>
  </si>
  <si>
    <t>Timber Purlins</t>
  </si>
  <si>
    <t>M-148</t>
  </si>
  <si>
    <t xml:space="preserve">Timber Reepers - 2"X1" </t>
  </si>
  <si>
    <t>M-149</t>
  </si>
  <si>
    <t xml:space="preserve">Timber Strips - 2" X 1/4" </t>
  </si>
  <si>
    <t>M-150</t>
  </si>
  <si>
    <t>Timber Wedges</t>
  </si>
  <si>
    <t>M-151</t>
  </si>
  <si>
    <t>Tor Steel Rods including transport to site</t>
  </si>
  <si>
    <t>M-152</t>
  </si>
  <si>
    <t>Tower / Skeleton Brass Bolts</t>
  </si>
  <si>
    <t>M-153</t>
  </si>
  <si>
    <t>Varnish</t>
  </si>
  <si>
    <t>M-154</t>
  </si>
  <si>
    <t>Wall Tiles Glazed 6" x 6"</t>
  </si>
  <si>
    <t>M-155</t>
  </si>
  <si>
    <t>Wall Tiles Glazed 8" x 12"</t>
  </si>
  <si>
    <t>M-156</t>
  </si>
  <si>
    <t>M-157</t>
  </si>
  <si>
    <t>Wax Polish</t>
  </si>
  <si>
    <t>M-158</t>
  </si>
  <si>
    <t>White Cement/ tile grout</t>
  </si>
  <si>
    <t>M-159</t>
  </si>
  <si>
    <t>Wire Brush</t>
  </si>
  <si>
    <t>M-160</t>
  </si>
  <si>
    <t>Wire Nails</t>
  </si>
  <si>
    <t>M-161</t>
  </si>
  <si>
    <t>Wire Nails 2" Long</t>
  </si>
  <si>
    <t>M-162</t>
  </si>
  <si>
    <t>Wire Nails 6" Long</t>
  </si>
  <si>
    <t>M-163</t>
  </si>
  <si>
    <t>Wirecut Bricks</t>
  </si>
  <si>
    <t>M-164</t>
  </si>
  <si>
    <t>Wood Preservative</t>
  </si>
  <si>
    <t>M-165</t>
  </si>
  <si>
    <t>Yellow Ochre</t>
  </si>
  <si>
    <t>M-166</t>
  </si>
  <si>
    <t>Activity</t>
  </si>
  <si>
    <t>Site Preparation &amp; Excavation</t>
  </si>
  <si>
    <t xml:space="preserve">Earth work support and Filling </t>
  </si>
  <si>
    <t>Anti Termite Treatment &amp; DPC</t>
  </si>
  <si>
    <t>Random Rubble Masonry Work</t>
  </si>
  <si>
    <t>Concrete Work</t>
  </si>
  <si>
    <t>Formwork</t>
  </si>
  <si>
    <t>Note</t>
  </si>
  <si>
    <t>Reinforcement</t>
  </si>
  <si>
    <t>Rate Break Downs of all trades are according to the Building Schedule of Rates of the Department of Buildings except the Rate Break Downs of Concrete Works</t>
  </si>
  <si>
    <t>Block Work</t>
  </si>
  <si>
    <t>Brick Work</t>
  </si>
  <si>
    <t xml:space="preserve">Roof </t>
  </si>
  <si>
    <t>Doors and Windows</t>
  </si>
  <si>
    <t>Plumbing &amp; Drainage</t>
  </si>
  <si>
    <t>Plastering</t>
  </si>
  <si>
    <t>Tiling</t>
  </si>
  <si>
    <t>Ceiling</t>
  </si>
  <si>
    <t>Painting</t>
  </si>
  <si>
    <t>01. Site Preparation &amp;  Excavation</t>
  </si>
  <si>
    <t>A.</t>
  </si>
  <si>
    <t>Site Preparation</t>
  </si>
  <si>
    <t>B.</t>
  </si>
  <si>
    <t>Excavation</t>
  </si>
  <si>
    <t>01.A. 01</t>
  </si>
  <si>
    <t>Clearing site and grubbing up all small trees not exceeding 500mm girth and including bushes, scrubs, undergrowth hedges etc.</t>
  </si>
  <si>
    <t xml:space="preserve">Analysis for </t>
  </si>
  <si>
    <t>Sqr</t>
  </si>
  <si>
    <t>No.</t>
  </si>
  <si>
    <t>Item Description</t>
  </si>
  <si>
    <t>Item Ref</t>
  </si>
  <si>
    <t>Quantity</t>
  </si>
  <si>
    <t>Rate</t>
  </si>
  <si>
    <t>Amount</t>
  </si>
  <si>
    <t>Allow 2.5% of Items ( 1.01 ) for Tools</t>
  </si>
  <si>
    <t xml:space="preserve">Total for </t>
  </si>
  <si>
    <t xml:space="preserve">Rate for 1 </t>
  </si>
  <si>
    <t>Rate(Say)</t>
  </si>
  <si>
    <t>1Sqr</t>
  </si>
  <si>
    <r>
      <rPr>
        <b/>
        <sz val="10"/>
        <rFont val="Times New Roman"/>
        <charset val="134"/>
      </rPr>
      <t>1ft</t>
    </r>
    <r>
      <rPr>
        <b/>
        <vertAlign val="superscript"/>
        <sz val="10"/>
        <rFont val="Times New Roman"/>
        <charset val="134"/>
      </rPr>
      <t>2</t>
    </r>
  </si>
  <si>
    <r>
      <rPr>
        <b/>
        <sz val="10"/>
        <rFont val="Times New Roman"/>
        <charset val="134"/>
      </rPr>
      <t>1m</t>
    </r>
    <r>
      <rPr>
        <b/>
        <vertAlign val="superscript"/>
        <sz val="10"/>
        <rFont val="Times New Roman"/>
        <charset val="134"/>
      </rPr>
      <t>2</t>
    </r>
  </si>
  <si>
    <t>01.A.02</t>
  </si>
  <si>
    <t>Cutting turf Sods, loading to hand carts and transporting up to 30 Yards, laying and watering for 30 days(Royalty for Turf, pegging, transporting beyond 30yds paid separately)</t>
  </si>
  <si>
    <t>U / SK  Labourer - cutting turf sods, loading &amp; unloading</t>
  </si>
  <si>
    <t>U / SK  Labourer - laying turf sods</t>
  </si>
  <si>
    <t>U / SK  Labourer - watering</t>
  </si>
  <si>
    <t>01.A.03</t>
  </si>
  <si>
    <t>Removing top soil to a Depth not Exceeding 6" &amp; Depositing as Directed within Site</t>
  </si>
  <si>
    <t>Sqrs</t>
  </si>
  <si>
    <t>01.B.01</t>
  </si>
  <si>
    <t>Excavation over site to reduce level, in any material except rock requiring blasting including depositing and levelling as directed upto  a distance not exceeding 30'  0 "</t>
  </si>
  <si>
    <t>1Cube</t>
  </si>
  <si>
    <r>
      <rPr>
        <b/>
        <sz val="10"/>
        <rFont val="Times New Roman"/>
        <charset val="134"/>
      </rPr>
      <t>1ft</t>
    </r>
    <r>
      <rPr>
        <b/>
        <vertAlign val="superscript"/>
        <sz val="10"/>
        <rFont val="Times New Roman"/>
        <charset val="134"/>
      </rPr>
      <t>3</t>
    </r>
  </si>
  <si>
    <r>
      <rPr>
        <b/>
        <sz val="10"/>
        <rFont val="Times New Roman"/>
        <charset val="134"/>
      </rPr>
      <t>1m</t>
    </r>
    <r>
      <rPr>
        <b/>
        <vertAlign val="superscript"/>
        <sz val="10"/>
        <rFont val="Times New Roman"/>
        <charset val="134"/>
      </rPr>
      <t>3</t>
    </r>
  </si>
  <si>
    <t>01.B.02</t>
  </si>
  <si>
    <t>Excavation in trenches for walls/ column pits in sort/loose soil from 0' 0" to 5' 0" deep and depositing excavated material to a distance not exceeding 30' 0" (Earth work support to be paid Separately where necessary)</t>
  </si>
  <si>
    <t>01.B.03</t>
  </si>
  <si>
    <t>Excavation in trenches for walls column pits in ordinary soil from 0' 0" to 5' 0" deep and depositing excavated material not exceeding 30'  0"</t>
  </si>
  <si>
    <t>01.B.04</t>
  </si>
  <si>
    <t>Excavation in trenches for walls / column pits in hard/dense soil up to a depth of 5' 0" and depositing excavated material to distance not exceeding 30' 0"</t>
  </si>
  <si>
    <t>01.B.05</t>
  </si>
  <si>
    <t>Excavation in trenches for walls column pits in mud/wet soil upto the depth of 5' 0" and depositing excavated material not exceeding 30' 0"</t>
  </si>
  <si>
    <t>01.B.06</t>
  </si>
  <si>
    <t>Excavation in trenches for walls column pits in soft disintegrated rock (not requiring  blasting)upto depth of 5'  0" and depositing excavated material to a distance not exceeding 30' 0"</t>
  </si>
  <si>
    <t>01.B.07</t>
  </si>
  <si>
    <t>Excavation in trenches for walls column pits in Hard rock requiring  Blasting upto depth of 5' 0" and depositing excavated material to a distance not exceeding 30' 0"</t>
  </si>
  <si>
    <t>Allow 20% of Items ( 1, 1.01, 1.02 ) for Steel Fuel and Forge</t>
  </si>
  <si>
    <t>01.B.08</t>
  </si>
  <si>
    <t>Benching rock in foundation in 3"-6" Steps (Blasting Prohibited)</t>
  </si>
  <si>
    <t>Allow 25% of Items ( 1 ) for Steel, fuel &amp; forge</t>
  </si>
  <si>
    <t>1 Sq.ft</t>
  </si>
  <si>
    <t>01.B.09</t>
  </si>
  <si>
    <t>Rock Requiring Blasting</t>
  </si>
  <si>
    <t>Labour Skilled</t>
  </si>
  <si>
    <t>Allow 2.5% of Items ( 1.01, 1.02 ) for Tools</t>
  </si>
  <si>
    <t>Fuel Forge etc.</t>
  </si>
  <si>
    <t>Blasting powder</t>
  </si>
  <si>
    <t>lbs</t>
  </si>
  <si>
    <t>Steel Jumper</t>
  </si>
  <si>
    <t>02.  Filling and Earth Work Support</t>
  </si>
  <si>
    <t>Filling</t>
  </si>
  <si>
    <t>Earthwork Support</t>
  </si>
  <si>
    <t>Backfilling</t>
  </si>
  <si>
    <t>02.A.01</t>
  </si>
  <si>
    <t>Backfilling to trenches with selected earth available at site.</t>
  </si>
  <si>
    <t>Allow 2.5% of Items ( 1 ) for Tools</t>
  </si>
  <si>
    <r>
      <rPr>
        <b/>
        <sz val="10"/>
        <rFont val="Times New Roman"/>
        <charset val="134"/>
      </rPr>
      <t>1 ft</t>
    </r>
    <r>
      <rPr>
        <b/>
        <vertAlign val="superscript"/>
        <sz val="10"/>
        <rFont val="Times New Roman"/>
        <charset val="134"/>
      </rPr>
      <t>3</t>
    </r>
  </si>
  <si>
    <t>02.A.02</t>
  </si>
  <si>
    <t>Backfilling to trenches with Imported Material</t>
  </si>
  <si>
    <t xml:space="preserve">Allow 15% of Items ( 1 ) for Compacting </t>
  </si>
  <si>
    <t>02.A.03</t>
  </si>
  <si>
    <t>Filling under floors including levelling, watering &amp; compacting in  3" layers with available and selected earth at site</t>
  </si>
  <si>
    <t>02.A.04</t>
  </si>
  <si>
    <t>Filling under floors including levelling, watering &amp; compacting in  3" layers with imported selected earth</t>
  </si>
  <si>
    <t>Cu</t>
  </si>
  <si>
    <t>Allow 15% of Items ( 1.02 ) for Compaction</t>
  </si>
  <si>
    <t>Rate(Say),with compaction</t>
  </si>
  <si>
    <t>02.A.05</t>
  </si>
  <si>
    <t>Filling under floors including levelling, watering &amp; compacting in  3" layers with imported gravel</t>
  </si>
  <si>
    <t>Gravel Delivered at Site</t>
  </si>
  <si>
    <t>Allow 15% of Items ( 1.02 ) for Compaction &amp; wastage</t>
  </si>
  <si>
    <t>02.A.06</t>
  </si>
  <si>
    <t>Approved Soil Spread &amp; Compacted in 150 to 225 mm Thick Layers Using Machine Rammer at Narrow Places (Loose Volume)</t>
  </si>
  <si>
    <t>Cu.m</t>
  </si>
  <si>
    <t>Labour Unskilled (U/SK)</t>
  </si>
  <si>
    <t>Vibrating rammer (60kg)(Less Operator)</t>
  </si>
  <si>
    <t>Earth Work Support</t>
  </si>
  <si>
    <t>02.B.01</t>
  </si>
  <si>
    <t>Earth Work Support (Open Planking) in trenches up to a depth of 5' 0"</t>
  </si>
  <si>
    <r>
      <rPr>
        <sz val="10"/>
        <rFont val="Times New Roman"/>
        <charset val="134"/>
      </rPr>
      <t>Class II Timber (17.5 ft</t>
    </r>
    <r>
      <rPr>
        <vertAlign val="superscript"/>
        <sz val="10"/>
        <rFont val="Times New Roman"/>
        <charset val="134"/>
      </rPr>
      <t>3</t>
    </r>
    <r>
      <rPr>
        <sz val="10"/>
        <rFont val="Times New Roman"/>
        <charset val="134"/>
      </rPr>
      <t xml:space="preserve"> for 4 uses)</t>
    </r>
  </si>
  <si>
    <t>1 Sqr</t>
  </si>
  <si>
    <t>02.B.02</t>
  </si>
  <si>
    <t>Earth Work Support (Close Planking) in trenches up to a depth of 5' 0"</t>
  </si>
  <si>
    <r>
      <rPr>
        <sz val="10"/>
        <rFont val="Times New Roman"/>
        <charset val="134"/>
      </rPr>
      <t>Class II Timber (30 ft</t>
    </r>
    <r>
      <rPr>
        <vertAlign val="superscript"/>
        <sz val="10"/>
        <rFont val="Times New Roman"/>
        <charset val="134"/>
      </rPr>
      <t>3</t>
    </r>
    <r>
      <rPr>
        <sz val="10"/>
        <rFont val="Times New Roman"/>
        <charset val="134"/>
      </rPr>
      <t xml:space="preserve"> for 4 uses)</t>
    </r>
  </si>
  <si>
    <t>02.B.03</t>
  </si>
  <si>
    <t>Earth Work Support (Close Planking) in deep excavation in trenches up to 15 ft 0" depth</t>
  </si>
  <si>
    <r>
      <rPr>
        <sz val="10"/>
        <rFont val="Times New Roman"/>
        <charset val="134"/>
      </rPr>
      <t>Class II Timber (100 ft</t>
    </r>
    <r>
      <rPr>
        <vertAlign val="superscript"/>
        <sz val="10"/>
        <rFont val="Times New Roman"/>
        <charset val="134"/>
      </rPr>
      <t>3</t>
    </r>
    <r>
      <rPr>
        <sz val="10"/>
        <rFont val="Times New Roman"/>
        <charset val="134"/>
      </rPr>
      <t xml:space="preserve"> for 4 uses)</t>
    </r>
  </si>
  <si>
    <t>03. Anti termite Treatment &amp; DPC</t>
  </si>
  <si>
    <t>Anti Termite Treatment</t>
  </si>
  <si>
    <t>DPC</t>
  </si>
  <si>
    <t>03.A.01</t>
  </si>
  <si>
    <t xml:space="preserve">Anti-Termite treatment on excavated foundation and compacted soil under floors. </t>
  </si>
  <si>
    <t xml:space="preserve">Rate for   1 </t>
  </si>
  <si>
    <t>03.B.01</t>
  </si>
  <si>
    <t>3/4" thick DPC in cement sand 1:2 finished with 2 coats hot tar and blinded with sand.</t>
  </si>
  <si>
    <t>04. Random Rubble Masonry Work</t>
  </si>
  <si>
    <t>04.01</t>
  </si>
  <si>
    <t>Random Rubble Masonry in cement mortar 1:5 in foundation</t>
  </si>
  <si>
    <t>6" - 9" Rubble</t>
  </si>
  <si>
    <t>04.02</t>
  </si>
  <si>
    <t>Random Rubble Masonry in cement mortar 1:5 in Superstructure</t>
  </si>
  <si>
    <t>Allow 3% of Items ( 1.05, 1.06 ) for Scaffolding</t>
  </si>
  <si>
    <t>-</t>
  </si>
  <si>
    <t>05. Concrete Work</t>
  </si>
  <si>
    <t>Mixing Concrete</t>
  </si>
  <si>
    <t>Screed</t>
  </si>
  <si>
    <t>C.</t>
  </si>
  <si>
    <t>Mass Concrete</t>
  </si>
  <si>
    <t>D.</t>
  </si>
  <si>
    <t>Column</t>
  </si>
  <si>
    <t>E.</t>
  </si>
  <si>
    <t>Beam</t>
  </si>
  <si>
    <t>F.</t>
  </si>
  <si>
    <t>Slab</t>
  </si>
  <si>
    <t>G.</t>
  </si>
  <si>
    <t>Lintol</t>
  </si>
  <si>
    <t>05.A.01</t>
  </si>
  <si>
    <t>Mixing Concrete 1:1-1/2:3(3/4")</t>
  </si>
  <si>
    <t>3/4 " Metal</t>
  </si>
  <si>
    <t>05.A.02</t>
  </si>
  <si>
    <t>Mixing Concrete 1:3:6(1 1/2")</t>
  </si>
  <si>
    <t>1 1/2 " Metal</t>
  </si>
  <si>
    <t>05.A.03</t>
  </si>
  <si>
    <t>Mixing Concrete 1:2 1/2 :5 (1")</t>
  </si>
  <si>
    <t>1 " Metal</t>
  </si>
  <si>
    <t>05.A.04</t>
  </si>
  <si>
    <t>Mixing Concrete 1:2:4(3/4")</t>
  </si>
  <si>
    <t>05.A.05</t>
  </si>
  <si>
    <t>Mixing Concrete 1:1:2(3/4")</t>
  </si>
  <si>
    <t>Screed Concrete</t>
  </si>
  <si>
    <t>05.B.01</t>
  </si>
  <si>
    <t xml:space="preserve">2" thick Cement Concrete screed 1:3:6 (1 1/2) in foundation at depth not exceed  in 5' 0" </t>
  </si>
  <si>
    <t>05.B.02</t>
  </si>
  <si>
    <t>3" Thick cement concrete 1:3:6(1-1/2") screed in foundation at depths not exceeding 5' 0"</t>
  </si>
  <si>
    <t>05.C.01</t>
  </si>
  <si>
    <t>6" Thick cement concrete 1:2-1/2:5(1") in floor (Mass concrete)</t>
  </si>
  <si>
    <t>Mixing Concrete 1:2 1/2 : 5(1")</t>
  </si>
  <si>
    <t>Column Concrete</t>
  </si>
  <si>
    <t>05.D.01</t>
  </si>
  <si>
    <t>Cement concrete 1:11/2 : 3(3/4") in 13-1/2" X 13-1/2" columns in ground floor.</t>
  </si>
  <si>
    <t>Mixed Concrete 1:1 1/2 : 3 (3/4")</t>
  </si>
  <si>
    <t>Allow 5% of Items ( 1.01 ) for Wastage</t>
  </si>
  <si>
    <t>SK Labourer (Vibrator)</t>
  </si>
  <si>
    <t>U / SK  Labourer (curing)</t>
  </si>
  <si>
    <t xml:space="preserve">40 L.ft </t>
  </si>
  <si>
    <t>1 L.ft</t>
  </si>
  <si>
    <t>1 m</t>
  </si>
  <si>
    <t>Ground floor - First Floor</t>
  </si>
  <si>
    <t>First Floor - Second Floor</t>
  </si>
  <si>
    <t>Second Floor - Third Floor</t>
  </si>
  <si>
    <t>Third Floor - Fourth Floor</t>
  </si>
  <si>
    <t>05.D.02</t>
  </si>
  <si>
    <t>Cement concrete 1:2:4(3/4") in 4-1/2" X 6" columns in ground floor.</t>
  </si>
  <si>
    <t>or</t>
  </si>
  <si>
    <t>Cubes</t>
  </si>
  <si>
    <t>Mixed Concrete 1:2:4(3/4")</t>
  </si>
  <si>
    <t>0.45 Cubes</t>
  </si>
  <si>
    <t>1 Cube</t>
  </si>
  <si>
    <t>1 ft</t>
  </si>
  <si>
    <t>05.D.03</t>
  </si>
  <si>
    <t>Cement concrete 1:2:4(3/4") in 6" X 6" columns in ground floor.</t>
  </si>
  <si>
    <t>05.D.04</t>
  </si>
  <si>
    <t>Cement concrete 1:2:4(3/4") in 9" X 9" columns in ground floor.</t>
  </si>
  <si>
    <t>05.D.05</t>
  </si>
  <si>
    <t>Cement concrete 1:2:4(3/4") in 12" X 12" columns in ground floor.</t>
  </si>
  <si>
    <t>0.5 Cubes</t>
  </si>
  <si>
    <t>05.D.06</t>
  </si>
  <si>
    <t>Cement concrete 1:2:4(3/4") in 13-1/2" X 13-1/2" columns in ground floor.</t>
  </si>
  <si>
    <t>0.51 Cubes</t>
  </si>
  <si>
    <t>Beam Concrete</t>
  </si>
  <si>
    <t>05.E.01</t>
  </si>
  <si>
    <t>Cement concrete 1:2:4(3/4") in 6" X 6" Beams Upto 1st floor level</t>
  </si>
  <si>
    <t>Ground floor</t>
  </si>
  <si>
    <t xml:space="preserve">First Floor </t>
  </si>
  <si>
    <t>Second Floor</t>
  </si>
  <si>
    <t>Third Floor</t>
  </si>
  <si>
    <t>05.E.02</t>
  </si>
  <si>
    <t>Cement concrete 1:2:4(3/4") in 9" X 6" Beams Upto 1st floor level</t>
  </si>
  <si>
    <t>05.E.03</t>
  </si>
  <si>
    <t>Cement concrete 1:2:4(3/4") in 9" X 9" Beams Upto 1st floor level</t>
  </si>
  <si>
    <t>Slab Concrete</t>
  </si>
  <si>
    <t>05.F.01</t>
  </si>
  <si>
    <t>5" Thick R.C.C 1:2:4(3/4") floor slab in 1st floor</t>
  </si>
  <si>
    <t>1 Sq</t>
  </si>
  <si>
    <t>1m2</t>
  </si>
  <si>
    <t>05.F.02</t>
  </si>
  <si>
    <t>6" Thick R.C.C 1:2:4(3/4") floor slab in 1st floor</t>
  </si>
  <si>
    <t>Sq</t>
  </si>
  <si>
    <t>1 ft2</t>
  </si>
  <si>
    <t>Lintol Concrete</t>
  </si>
  <si>
    <t>05.G.01</t>
  </si>
  <si>
    <t>Cement concrete 1:2:4(3/4") in 4-1/2" X 6" lintels in ground floor</t>
  </si>
  <si>
    <t>05.G.02</t>
  </si>
  <si>
    <t>Cement concrete 1:2:4(3/4") in 9" X 9" lintels in ground floor</t>
  </si>
  <si>
    <t>05.G.03</t>
  </si>
  <si>
    <t>Cement concrete 1:2:4(3/4") in 9" X 12" lintels in ground floor</t>
  </si>
  <si>
    <t>05.G.04</t>
  </si>
  <si>
    <t>Cement concrete 1:2:4(3/4") in 12" X 15" lintels in ground floor</t>
  </si>
  <si>
    <t>06. Formwork</t>
  </si>
  <si>
    <t>06.A.01</t>
  </si>
  <si>
    <t>Sawn timber formwork to 9" x 9" cement concrete column in ground floor.</t>
  </si>
  <si>
    <t>Sawn timber formwork to 9" x 9" cement concrete column in ground floor - Making Mould</t>
  </si>
  <si>
    <t>06.A.02</t>
  </si>
  <si>
    <t>1 Use</t>
  </si>
  <si>
    <t>Bolts 16mm 18" (12 nos 20 uses)</t>
  </si>
  <si>
    <t>Timber props 4" x 2"</t>
  </si>
  <si>
    <t>Carpenter - assembling</t>
  </si>
  <si>
    <t>U / SK  Labourer - assembling</t>
  </si>
  <si>
    <t>Carpenter - dismantling, cleaning &amp; repairing</t>
  </si>
  <si>
    <t>U / SK  Labourer - dismantling, cleaning &amp; repairing</t>
  </si>
  <si>
    <t>1Sq</t>
  </si>
  <si>
    <t>1ft2</t>
  </si>
  <si>
    <t>Uses</t>
  </si>
  <si>
    <t>1" Thick Class II Timber</t>
  </si>
  <si>
    <t>2" x 2" Class II Timber In Yokes</t>
  </si>
  <si>
    <t>2" x 1" Class II Timber Battens.</t>
  </si>
  <si>
    <t>06.B.01</t>
  </si>
  <si>
    <t>Sawn timber formwork for concrete beams in ground floor</t>
  </si>
  <si>
    <t>Sawn timber formwork for 9" x 12" concrete beams in ground floor - Making the mould</t>
  </si>
  <si>
    <t>06.B.02</t>
  </si>
  <si>
    <t>Sawn timber formwork for concrete beams in ground floor-Assembling</t>
  </si>
  <si>
    <t>06.B.03</t>
  </si>
  <si>
    <t>Allow 10% of Items ( 1.02 ) for Repairs</t>
  </si>
  <si>
    <t>Carpenter - Assembling</t>
  </si>
  <si>
    <t>U / SK  Labourer - Assembling</t>
  </si>
  <si>
    <t>4"X2" Timber bearers</t>
  </si>
  <si>
    <t>Sawn timber formwork for concrete beams in ground floor-Assembling  - Materials</t>
  </si>
  <si>
    <t>2" x 2" Class II Timber for bracings</t>
  </si>
  <si>
    <t>1" Thick Class II Timber base plate</t>
  </si>
  <si>
    <t>06.C.01</t>
  </si>
  <si>
    <t>Sawn timber formwork for underside of first floor slab</t>
  </si>
  <si>
    <t>Sawn timber formwork for 20" x 10" concrete slab in ground floor - Making  panels</t>
  </si>
  <si>
    <t>06.C.02</t>
  </si>
  <si>
    <t>Allow 20% of Items ( 1.01 ) for Repairs</t>
  </si>
  <si>
    <t>Sawn timber formwork for underside of first floor slab - assembling</t>
  </si>
  <si>
    <t>06.C.03</t>
  </si>
  <si>
    <t>Allow 20% of Items ( 1.03 ) for Wastage</t>
  </si>
  <si>
    <t>Sawn timber formwork for underside of first floor slab - Assembling</t>
  </si>
  <si>
    <t>07. Reinforcement</t>
  </si>
  <si>
    <t>Tor steel reinforcement to lintels, slabs, beams or columns bent to shape, laid in position and tied with G.I. Wire as directed.</t>
  </si>
  <si>
    <t>Cwt.</t>
  </si>
  <si>
    <t>M.S./Tor Steel Rods including transport to site</t>
  </si>
  <si>
    <t>kg</t>
  </si>
  <si>
    <t>Allow 15% of Items ( 1.01 ) for Wastage</t>
  </si>
  <si>
    <t>16 BWG Binding Wire</t>
  </si>
  <si>
    <t>Allow 1.5% of Items ( 1.01 ) for spaces or chairs</t>
  </si>
  <si>
    <t>1Cwt</t>
  </si>
  <si>
    <t>1Kg</t>
  </si>
  <si>
    <t>Mild Steel reinforcement to lintels, slabs, beams or columns bent to shape, laid in position and tied with G.I. Wire as directed.</t>
  </si>
  <si>
    <t>08. Block Work</t>
  </si>
  <si>
    <t>08.01</t>
  </si>
  <si>
    <t>8" Thick hollow block work in cement and sand mortar 1:5 in ground floor (Cavities unfilled)</t>
  </si>
  <si>
    <t>Hollow Cement Block (16"x 8"x 8")</t>
  </si>
  <si>
    <t>First Floor</t>
  </si>
  <si>
    <t>3rd floor</t>
  </si>
  <si>
    <t>08.02</t>
  </si>
  <si>
    <t>6" Thick hollow block work in cement and sand mortar 1:5 with cavities unfilled.</t>
  </si>
  <si>
    <t>Hollow Cement Blocks (16"x 8"x 6")</t>
  </si>
  <si>
    <t>08.03</t>
  </si>
  <si>
    <t>4" Thick hollow block work in cement and sand mortar 1:5 with cavities unfilled.</t>
  </si>
  <si>
    <t>Hollow Cement Blocks (16"x 8"x 4")</t>
  </si>
  <si>
    <t>Allow 5% of Items ( 1.05, 1.06 ) for Scaffolding</t>
  </si>
  <si>
    <t>09. Brick Work</t>
  </si>
  <si>
    <t>09.01</t>
  </si>
  <si>
    <t>Brick Work in cement sand 1:5 in 4-1/2" thick walls in ground floor</t>
  </si>
  <si>
    <t>Allow 5% of Items (1.06,  1.07 ) for Scaffolding</t>
  </si>
  <si>
    <t>09.02</t>
  </si>
  <si>
    <t>9" thick brick wall cement sand 1:5 in ground floor</t>
  </si>
  <si>
    <t>U / SK  Labour</t>
  </si>
  <si>
    <t>Allow 3% of Items (1.06,  1.07 ) for Scaffolding</t>
  </si>
  <si>
    <t>09.03</t>
  </si>
  <si>
    <t>Brick work in cement sand 1:5 in foundation upto D. P. C</t>
  </si>
  <si>
    <t>1 Cu</t>
  </si>
  <si>
    <t>09.04</t>
  </si>
  <si>
    <t>Brick Work in cement sand 1:8 in foundation upto D. P. C</t>
  </si>
  <si>
    <t>1ft3</t>
  </si>
  <si>
    <t>1m3</t>
  </si>
  <si>
    <t>09.05</t>
  </si>
  <si>
    <t>Brick Work 13 1/2" thick in cement sand 1:5 in superstructure in ground floor</t>
  </si>
  <si>
    <t>Allow 5% of Items ( 1.01 ) for wastage</t>
  </si>
  <si>
    <t>Allow 2% of Items (1.06,  1.07 ) for Scaffolding</t>
  </si>
  <si>
    <t>09.06</t>
  </si>
  <si>
    <t>9" Brick Walls in cement sand 1:8 in superstructure in ground floor</t>
  </si>
  <si>
    <t>Allow 3% of Items ( 1.06,  1.07 ) for Scaffolding</t>
  </si>
  <si>
    <t>09.07</t>
  </si>
  <si>
    <t>4 1/2" Thick Brick Walls (wire cut) in cement sand 1:5 in superstructure in ground floor (facing to brickwork measured separately)</t>
  </si>
  <si>
    <t>Wire cut Bricks</t>
  </si>
  <si>
    <t>Allow 2% of Items ( 1.01 ) for Wastage</t>
  </si>
  <si>
    <t>09.08</t>
  </si>
  <si>
    <t xml:space="preserve">9" Thick in Cement and Sand 1:5 with wire cut Bricks (Facing to brickwork measured separately) </t>
  </si>
  <si>
    <t>Allow 4% of Items ( 1.01 ) for Wastage</t>
  </si>
  <si>
    <t>09.10</t>
  </si>
  <si>
    <t xml:space="preserve">13 1/2" Thick Brick wall (wire cut) in cement and sand 1:5 in ground floor  (Facing to brickwork measured separately) </t>
  </si>
  <si>
    <t>09.11</t>
  </si>
  <si>
    <t>Extra over for facing including raised pointing 1/8" thick in cement and sand 1:1 mixture in ground floor</t>
  </si>
  <si>
    <t>09.12</t>
  </si>
  <si>
    <t>3" Thick floor paved in lime mortar 2:5 in ground floor</t>
  </si>
  <si>
    <t>09.13</t>
  </si>
  <si>
    <t>Steps 1' -1 1/2" x 0'  6" in brick in cement and sand 1:5 with 1/2" thick cement and sand 1:2 rendering including necessary excavation.</t>
  </si>
  <si>
    <t>1m</t>
  </si>
  <si>
    <t>09.14</t>
  </si>
  <si>
    <t>Brick Drain in cement and sand 1:5 mix,  9" wide and 6"-9" average depth including cement rendering 1/2" thick 1:2 to exposed faces with 1' 6" ramp including necessary excavation.</t>
  </si>
  <si>
    <t>09.15</t>
  </si>
  <si>
    <t>Brick Drain in cement and sand 1:5 mix,  9" wide and 6"-9" average depth including cement rendering 1/2" thick 1:2 to exposed faces without ramp including necessary excavation.</t>
  </si>
  <si>
    <t>10. Roof Covering and Ceiling</t>
  </si>
  <si>
    <t>Roof Frame &amp; Roof Covering</t>
  </si>
  <si>
    <t>Roof Plumbing</t>
  </si>
  <si>
    <t>Roof frame &amp; Roof Covering</t>
  </si>
  <si>
    <t>10.A.01</t>
  </si>
  <si>
    <t>Timber framework for culicut pattern tile hip roof in single storey building consisting of wall plate , beam, ridge plate, rafters etc.(Preservative treatment to be measured separately)</t>
  </si>
  <si>
    <t>Allow 10% of Items ( 1.01 ) for Wastage</t>
  </si>
  <si>
    <t>2"X1"  Reepers</t>
  </si>
  <si>
    <t>Allow 5% of Items ( 1.03 ) for Wastage</t>
  </si>
  <si>
    <t>10.A.02</t>
  </si>
  <si>
    <t>Roof Covering With calicut pattern clay tiles in single storeyed building</t>
  </si>
  <si>
    <t>Tiles</t>
  </si>
  <si>
    <t>10.A.03</t>
  </si>
  <si>
    <t>Timber framework for corrugated asbestos sheet roof in single storeyed building</t>
  </si>
  <si>
    <t>10.A.04</t>
  </si>
  <si>
    <t xml:space="preserve">Roof covering with corrugated asbestos sheets (Timber frame work and ridge covering measured separately) </t>
  </si>
  <si>
    <t>Asbestos Corrugated</t>
  </si>
  <si>
    <t>M109</t>
  </si>
  <si>
    <t>10.A.05</t>
  </si>
  <si>
    <t>One layer half round clay tiles over corrugated asbestos roof covering</t>
  </si>
  <si>
    <t>10.A.06</t>
  </si>
  <si>
    <t>Asbestos close fittings ridging fixed complete with roofing screws or bolts (hook)</t>
  </si>
  <si>
    <t>L.ft.</t>
  </si>
  <si>
    <t>Ridges 3' 8" Long - Asbestos</t>
  </si>
  <si>
    <t>10.A.07</t>
  </si>
  <si>
    <t>Ridging covering with calicut pattern ridge tiles bedded in cement lime mortar 1:1:4</t>
  </si>
  <si>
    <t>Ridge Tiles</t>
  </si>
  <si>
    <t>M-o26</t>
  </si>
  <si>
    <t>10.A.08</t>
  </si>
  <si>
    <t>3/4" X 9" high valance board fixed with brass screws to ends of rafters (For tile roofing)</t>
  </si>
  <si>
    <t>valance board</t>
  </si>
  <si>
    <t>1" Planks</t>
  </si>
  <si>
    <t>Allow 5% of Items ( 1.04, 1.05 ) for Wastage</t>
  </si>
  <si>
    <t>10.A.09</t>
  </si>
  <si>
    <t>3/4" X 9" high barge board fixed with brass screws at 2 ft. 0"centres to side of rafters</t>
  </si>
  <si>
    <t>barge board</t>
  </si>
  <si>
    <t>Allow 5% of Items ( 1.04, 1.05 ) for Scaffolding</t>
  </si>
  <si>
    <t>10.B.01</t>
  </si>
  <si>
    <t>18 B.W.G (1.2 mm) galvanised iron sheet valley gutter 3'  0" girth over all once bent with end laps not less than 9" width including 3/4" tongued and grooved planks laid to slope and profile on timber members.</t>
  </si>
  <si>
    <t>Sheet (8'X4')</t>
  </si>
  <si>
    <t>Sheet</t>
  </si>
  <si>
    <t>2" Nails</t>
  </si>
  <si>
    <t>10.B.02</t>
  </si>
  <si>
    <t>18 B.W.G (1.2 mm) GI Flashing 1' 6" girth overall 3 thies bent with end laps not less than 6", soldered, turned and tucked up to not less than 6" into chase cut in wall and pointed in  1:2 mortar, lower end dressed over roof covering not less than 1' 0" wide</t>
  </si>
  <si>
    <t>10.B.03</t>
  </si>
  <si>
    <t>6" half round PVC eave gutter fixed to timber valance board including gutter joiner and brackets fixed at 18" centres (other specials paid seperately)</t>
  </si>
  <si>
    <t>6" eave gutter lengths (12' each)</t>
  </si>
  <si>
    <t>Joiner</t>
  </si>
  <si>
    <t>gutter brackets</t>
  </si>
  <si>
    <t>grms</t>
  </si>
  <si>
    <t>Allow 5% of Items ( 1.06, 1.07) for Scaffolding</t>
  </si>
  <si>
    <t>1 L.ft.</t>
  </si>
  <si>
    <t>10.B.04</t>
  </si>
  <si>
    <t>6" dia PVC gutter head</t>
  </si>
  <si>
    <t>Gutter Joiner</t>
  </si>
  <si>
    <t>1 No.</t>
  </si>
  <si>
    <t>10.B.05</t>
  </si>
  <si>
    <t>6" dia PVC mitres</t>
  </si>
  <si>
    <t>6" dia PVC mitre bend</t>
  </si>
  <si>
    <t>10.B.06</t>
  </si>
  <si>
    <t>6" dia PVC end caps</t>
  </si>
  <si>
    <t>end cap</t>
  </si>
  <si>
    <t>10.B.07</t>
  </si>
  <si>
    <t>3 1/2" PVC rain water down pipes fixed to brick wall with wooden plugs buried in wall (other specials paid seperately)</t>
  </si>
  <si>
    <t>3 1/2" down pipe lengths (12' each)</t>
  </si>
  <si>
    <t>3 1/2" Joiner</t>
  </si>
  <si>
    <t>PVC straps</t>
  </si>
  <si>
    <t>1" brass screws</t>
  </si>
  <si>
    <t>10.B.08</t>
  </si>
  <si>
    <t>3 1/2" dia PVC elbow</t>
  </si>
  <si>
    <t>elbow</t>
  </si>
  <si>
    <t>10.B.09</t>
  </si>
  <si>
    <t>3 1/2" dia PVC Shoe</t>
  </si>
  <si>
    <t>Shoe</t>
  </si>
  <si>
    <t>11. Doors &amp; Windows</t>
  </si>
  <si>
    <t>Doors &amp; Windows</t>
  </si>
  <si>
    <t>Ironmongery</t>
  </si>
  <si>
    <t>11.A.01</t>
  </si>
  <si>
    <t>Door Single Hung 3' 3" X7' 0" high overall with frame having 1 1/4" thick sash and 3 1/4" X 2 1/4 ft. timber frame(glazing, ironmongery &amp; painting measured separately)</t>
  </si>
  <si>
    <t>4"X3"  Timber</t>
  </si>
  <si>
    <t>4" Long Brass Screws</t>
  </si>
  <si>
    <t>5/8" Mild Steel Dowels 4" Long.</t>
  </si>
  <si>
    <t>1 1/2"  Planks</t>
  </si>
  <si>
    <t>11.A.02</t>
  </si>
  <si>
    <t>Door glazed and paneled double hung 4' 0" x 7' 0" high overall with frame including 1 1/4" thick sash and 3 1/4 x 2 1/4" frame (Glazing, Ironmongory and painting measured separately)</t>
  </si>
  <si>
    <t>11.A.03</t>
  </si>
  <si>
    <t>Plywood door single hung 3' 1-1/2" x 6' 11-1/2" overall with frame having 1-1/4" thick sash and 3 1/4" x 2 1/4" frame (Glazing, Ironmongory and painting measured separately)</t>
  </si>
  <si>
    <t>6' 9" X 2' 9" Plywood Sash</t>
  </si>
  <si>
    <t>Mason - fixing frame</t>
  </si>
  <si>
    <t>U / SK  Labourer - fixing frame</t>
  </si>
  <si>
    <t>11.A.04</t>
  </si>
  <si>
    <t>Door Ledged, braced and battened single hung 2'  6" x 6'  6" overall,with frame having 7/8" thick tongued &amp; Grooved planks and 3-1/4" x 2-3/4"frame (Glazing, Ironmongory and painting measured separately)</t>
  </si>
  <si>
    <t>11.A.05</t>
  </si>
  <si>
    <t>window, Glazed 7'. 0" x 4' 0" High overall with frame comprising 3 No openable sashes and 3 1/4" x 2 1/4" frame and mullions (Glazing, Ironmongory and painting measured separately)</t>
  </si>
  <si>
    <t>11.A.06</t>
  </si>
  <si>
    <t>1/8" clear sheet glass panes exceeding 1'  0" but not exceeding 4  squere feet cut and fixed with timber beadings to doors and windows.</t>
  </si>
  <si>
    <t>Glass panes</t>
  </si>
  <si>
    <t>1/2" X 1/2" Beading</t>
  </si>
  <si>
    <t>11.B.01</t>
  </si>
  <si>
    <t>Butt Hinges 5" X 2 1/2" Brass</t>
  </si>
  <si>
    <t>Butt Hinges (pairs 1 1/2)</t>
  </si>
  <si>
    <t>3/4" Brass Screws</t>
  </si>
  <si>
    <t>11.B.02</t>
  </si>
  <si>
    <t>Tee Hinges 6" X  1/2" Brass</t>
  </si>
  <si>
    <t>3/4" Iron Screws</t>
  </si>
  <si>
    <t>11.B.03</t>
  </si>
  <si>
    <t>Mortice Lock</t>
  </si>
  <si>
    <t>11.B.04</t>
  </si>
  <si>
    <t>1/2 " Brass Screws</t>
  </si>
  <si>
    <t>11.B.05</t>
  </si>
  <si>
    <t>Door Closer (Hydraulic)</t>
  </si>
  <si>
    <t>11.B.06</t>
  </si>
  <si>
    <t>Tower / Skeleton Brass Bolts 12"</t>
  </si>
  <si>
    <t>11.B.07</t>
  </si>
  <si>
    <t>Barrel Bolt 4"</t>
  </si>
  <si>
    <t>11.B.08</t>
  </si>
  <si>
    <t>11.B.09</t>
  </si>
  <si>
    <t>Check this item</t>
  </si>
  <si>
    <t>11.B.10</t>
  </si>
  <si>
    <t>12. Plumbing &amp; Drainage</t>
  </si>
  <si>
    <t>1/2 " Diameter PVC pipes fixed to walls (Specials paid separately)</t>
  </si>
  <si>
    <t>1/2" PVC Pipes</t>
  </si>
  <si>
    <t>1/2 "</t>
  </si>
  <si>
    <t>20mm dia pipe</t>
  </si>
  <si>
    <t>1 " Clips and Nails</t>
  </si>
  <si>
    <t>3/4"</t>
  </si>
  <si>
    <t xml:space="preserve">25mm dia pipe </t>
  </si>
  <si>
    <t>1"</t>
  </si>
  <si>
    <t xml:space="preserve">32mm dia pipe </t>
  </si>
  <si>
    <t>11/4"</t>
  </si>
  <si>
    <t xml:space="preserve">40mm dia pipe </t>
  </si>
  <si>
    <t>11/2"</t>
  </si>
  <si>
    <t xml:space="preserve">50mm dia pipe </t>
  </si>
  <si>
    <t>2"</t>
  </si>
  <si>
    <t>63mm dia pipe</t>
  </si>
  <si>
    <t>21/2"</t>
  </si>
  <si>
    <t xml:space="preserve">75mm dia pipe </t>
  </si>
  <si>
    <t>3"</t>
  </si>
  <si>
    <t>90mm dia pipe</t>
  </si>
  <si>
    <t>3/4 " Diameter PVC pipes fixed to walls (Specials paid separately)</t>
  </si>
  <si>
    <t>3/4" PVC Pipes</t>
  </si>
  <si>
    <t>1 " Diameter PVC pipes fixed to walls (Specials paid separately)</t>
  </si>
  <si>
    <t>1" PVC Pipes</t>
  </si>
  <si>
    <t>1"  PVC  Sockets</t>
  </si>
  <si>
    <t>1 1/4"Diameter PVC pipes fixed to walls (Specials paid separately)</t>
  </si>
  <si>
    <t>1 1/4" PVC Pipes</t>
  </si>
  <si>
    <t>1 1/4"   PVC Sockets</t>
  </si>
  <si>
    <t>1 1/4 " Clips and Nails</t>
  </si>
  <si>
    <t>1 1/2" Diameter PVC pipes fixed to walls (Specials paid separately)</t>
  </si>
  <si>
    <t>1 1/2" PVC Pipes</t>
  </si>
  <si>
    <t>1 1/2"   PVC Sockets</t>
  </si>
  <si>
    <t>1 1/2 " Clips and Nails</t>
  </si>
  <si>
    <t>2" Diameter PVC pipes fixed to walls (Specials paid separately)</t>
  </si>
  <si>
    <t>2" PVC Pipes</t>
  </si>
  <si>
    <t>2"   PVC Sockets</t>
  </si>
  <si>
    <t>2 " Clips and Nails</t>
  </si>
  <si>
    <t>3" Diameter PVC pipes fixed to walls (Specials paid separately) Type 1000</t>
  </si>
  <si>
    <t>3" PVC Pipes</t>
  </si>
  <si>
    <t>Allow 5% of Items ( 1.01 ) for Compaction</t>
  </si>
  <si>
    <t>3"   PVC Sockets</t>
  </si>
  <si>
    <t>3 " Clips and Screws</t>
  </si>
  <si>
    <t>Excavation for laying 1/2 " to 3" dia meter PVC pipes in ground not less than 1'  6" Deep, Backfilling &amp; Compacting</t>
  </si>
  <si>
    <t>Chasing brickwork for laying 1/2" to 1 1/2 " dia PVC pipes and making good average depth 2" (Pipes and specials paid separately)</t>
  </si>
  <si>
    <t>12.10</t>
  </si>
  <si>
    <t>Chasing brickwork for laying 1 1/2" to 3 " dia PVC pipes in ground and floor and making good. average depth 3" (Pipes and specials measured paid separately)</t>
  </si>
  <si>
    <t>1/2" dia PVC specials viz-elbow / Bends / Sockets.</t>
  </si>
  <si>
    <t>1/2"  PVC Elbows / Bent / Socket</t>
  </si>
  <si>
    <t>3/4" dia PVC specials viz-elbow / Bends / Sockets.</t>
  </si>
  <si>
    <t>3/4" PVC  Elbows / Bent / Socket</t>
  </si>
  <si>
    <t>1" dia PVC specials viz-elbo / Bends / Sockets.</t>
  </si>
  <si>
    <t>1"  PVC Elbows / Bent / Socket</t>
  </si>
  <si>
    <t>1 1/4" dia PVC specials viz-elbo / Bends / Sockets.</t>
  </si>
  <si>
    <t>1 1/4"  PVC Elbows / Bent / Socket</t>
  </si>
  <si>
    <t>1 1/2" dia PVC specials viz-elbo / Bends / Sockets.</t>
  </si>
  <si>
    <t>1 1/2"  PVC Elbows / Bent / Socket</t>
  </si>
  <si>
    <t>2" dia PVC specials viz-elbo / Bends / Sockets.</t>
  </si>
  <si>
    <t>2"  PVC Elbows / Bent / Socket</t>
  </si>
  <si>
    <t>2 1/2" dia PVC specials viz-elbo / Bends / Sockets.</t>
  </si>
  <si>
    <t>2 1/2"  PVC Elbows / Bent / Socket</t>
  </si>
  <si>
    <t>3" dia PVC specials viz-elbo / Bends / Sockets.</t>
  </si>
  <si>
    <t>3"  PVC Elbows / Bent / Socket</t>
  </si>
  <si>
    <t>1/2" dia PVC Tee</t>
  </si>
  <si>
    <t>1/2 " Dia Tee</t>
  </si>
  <si>
    <t>12.20</t>
  </si>
  <si>
    <t>3/4 " dia PVC Tee</t>
  </si>
  <si>
    <t>3/4 " Dia Tee</t>
  </si>
  <si>
    <t>1" dia PVC Tee</t>
  </si>
  <si>
    <t>1 " Dia Tee</t>
  </si>
  <si>
    <t>1 1/4 " dia PVC Tee</t>
  </si>
  <si>
    <t>1 1/4 " Dia Tee</t>
  </si>
  <si>
    <t>1 1/2 " dia PVC Tee</t>
  </si>
  <si>
    <t>1 1/2 " Dia Tee</t>
  </si>
  <si>
    <t>2 " dia PVC Tee</t>
  </si>
  <si>
    <t>2 " Dia Tee</t>
  </si>
  <si>
    <t>2 1/2 " dia PVC Tee</t>
  </si>
  <si>
    <t>2 1/2" Dia Tee</t>
  </si>
  <si>
    <t>3 " dia PVC Tee</t>
  </si>
  <si>
    <t>3 " Dia Tee</t>
  </si>
  <si>
    <t>14. Tilling</t>
  </si>
  <si>
    <t>Wall Tilling</t>
  </si>
  <si>
    <t>Floor Tilling</t>
  </si>
  <si>
    <t>14.A.01</t>
  </si>
  <si>
    <t>Glazed tiles fixed to walls including bedding in cement mortar 1:2 and raking in ground floor.(Specials measured separately)</t>
  </si>
  <si>
    <t>Glazed Tiles (6''x6")</t>
  </si>
  <si>
    <t>White Cement</t>
  </si>
  <si>
    <t>14.A.02</t>
  </si>
  <si>
    <t>Glazed Tiles (8''x12")</t>
  </si>
  <si>
    <t>14.B.01</t>
  </si>
  <si>
    <t xml:space="preserve"> Terrazzo floor tiles on 1/2" thick cement and sand 1:2 in ground floor</t>
  </si>
  <si>
    <t>Terrazzo Tiles  12" X 12"</t>
  </si>
  <si>
    <t>14.B.02</t>
  </si>
  <si>
    <t>Pressed floor tiles bedded in 1/2" cement mortar 1:2 and pointing in neat cement in ground floor</t>
  </si>
  <si>
    <t>Pressed Tiles 8" X 8"</t>
  </si>
  <si>
    <t>13.  Plastering</t>
  </si>
  <si>
    <t>Wall Plastering</t>
  </si>
  <si>
    <t>Rendering</t>
  </si>
  <si>
    <t>Sofit Plastering</t>
  </si>
  <si>
    <t>Skirting</t>
  </si>
  <si>
    <t>13.A.01</t>
  </si>
  <si>
    <t xml:space="preserve">5/8" thick plastering to wall in Cement and sand 1:3 including Cement floating </t>
  </si>
  <si>
    <t>Allow 3% of Items ( 1.04, 1.05 ) for Scaffolding</t>
  </si>
  <si>
    <r>
      <rPr>
        <b/>
        <sz val="9"/>
        <rFont val="MS Sans Serif"/>
        <charset val="134"/>
      </rPr>
      <t>1ft</t>
    </r>
    <r>
      <rPr>
        <b/>
        <vertAlign val="superscript"/>
        <sz val="9"/>
        <rFont val="MS Sans Serif"/>
        <charset val="134"/>
      </rPr>
      <t>2</t>
    </r>
  </si>
  <si>
    <r>
      <rPr>
        <b/>
        <sz val="9"/>
        <rFont val="MS Sans Serif"/>
        <charset val="134"/>
      </rPr>
      <t>1m</t>
    </r>
    <r>
      <rPr>
        <b/>
        <vertAlign val="superscript"/>
        <sz val="9"/>
        <rFont val="MS Sans Serif"/>
        <charset val="134"/>
      </rPr>
      <t>2</t>
    </r>
  </si>
  <si>
    <t>13.A.02</t>
  </si>
  <si>
    <t>5/8" thick to wall in cement and sand 1:5 finished semi-rough with wooden float.</t>
  </si>
  <si>
    <t>13.A.03</t>
  </si>
  <si>
    <t>5/8" thick to wall in lime cement and sand 1:1:5 finished semi-rough with wooden float.</t>
  </si>
  <si>
    <t>13.A.04</t>
  </si>
  <si>
    <t>5/8" thick Plastering to wall in lime cement and sand 1:1:5 finished smooth with lime putty floating.</t>
  </si>
  <si>
    <t>13.A.05</t>
  </si>
  <si>
    <t xml:space="preserve">5/8" thick plastering to wall in lime and sand 2:5 including floating with lime putty. </t>
  </si>
  <si>
    <t>13.B.01</t>
  </si>
  <si>
    <t xml:space="preserve">3/4" thick rendering in cement and sand 1:3 finished smooth </t>
  </si>
  <si>
    <t>U / SK  Labourer - curing</t>
  </si>
  <si>
    <t>13.B.02</t>
  </si>
  <si>
    <t xml:space="preserve">1/2" thick rendering in cement and sand 1:3 finished smooth </t>
  </si>
  <si>
    <t>13.B.03</t>
  </si>
  <si>
    <t xml:space="preserve">1/2" thick rendering in cement and sand 1:2 in floors,  finished smooth </t>
  </si>
  <si>
    <t>`</t>
  </si>
  <si>
    <t>13.B.04</t>
  </si>
  <si>
    <t>3/4" thick rendering in cement and sand 1:2 in floors finished smooth</t>
  </si>
  <si>
    <t>13.B.05</t>
  </si>
  <si>
    <t>3/4" thick rendering in cement and sand 1:2 in colored cement floors finished smooth</t>
  </si>
  <si>
    <t>13.C.01</t>
  </si>
  <si>
    <t>3/8" thick plastering to Soffit Slab in Cement and sand 1:3 including floating with Lime putty</t>
  </si>
  <si>
    <t>13.C.02</t>
  </si>
  <si>
    <t>3/8" thick plastering to sides and softfit of beams in Cement and sand 1:3 including floating with Lime putty</t>
  </si>
  <si>
    <t>13.D.01</t>
  </si>
  <si>
    <t>1/2" x 6" Skirting in cement and sand 1:3 projected or flush to walls finished with floating including forming groove</t>
  </si>
  <si>
    <t>1ft</t>
  </si>
  <si>
    <t>15.  Ceiling</t>
  </si>
  <si>
    <t>Timber Framework for 4' 0"x4' 0" flat asbestos ceiling (Sheet Measured separately) Comprising of 4"x2" joists and 2"x2" bearers in class 1 timber</t>
  </si>
  <si>
    <t>Allow 3% of Items ( 1.08, 1.09, 1.10 ) for Scaffolding</t>
  </si>
  <si>
    <t>Horizontal ceiling lining using 4' 0"x4' 0" flat asbestos cement sheets fixed with and including beading and cove mouldings on timber framework(Timber, framework, painting m/separately)</t>
  </si>
  <si>
    <t>Flat Asbestos Sheets</t>
  </si>
  <si>
    <t>2"X2"  halmilla Cove Moulding</t>
  </si>
  <si>
    <t>1 1/2"X1/2" Halmilla Beadings</t>
  </si>
  <si>
    <t>1/4" clout Nails</t>
  </si>
  <si>
    <t>Allow 3% of Items ( 1.06, 1.07 ) for Scaffolding</t>
  </si>
  <si>
    <t>3/4" thick tongued and grooved Lunumidella ceiling boards fixed horizontal on 4"X2" class I timber Joists at 2' 0" centres with 1 1/2 " Brass Nails</t>
  </si>
  <si>
    <t>4" x 2" Timber Joists</t>
  </si>
  <si>
    <t>6" x 3/4" Lunumidella Ceiling Planks.</t>
  </si>
  <si>
    <t>1 1/2 brass Nails</t>
  </si>
  <si>
    <t>Mason - making holes, fixing joists &amp; making goods</t>
  </si>
  <si>
    <t>Carpenter - making holes, fixing joists &amp; making goods</t>
  </si>
  <si>
    <t>U / SK  Labourer - making holes, fixing joists &amp; making goods</t>
  </si>
  <si>
    <t>Carpenter - Fixing ceiling boards</t>
  </si>
  <si>
    <t>U / SK  Labourer - Fixing ceiling boards</t>
  </si>
  <si>
    <t>Allow 3% of Items (1.06, 1.07, 1.08, 1.09, 1.10) for Scaffolding</t>
  </si>
  <si>
    <t>3/4" X 6" wide tongued and grooved Lunumidella ceiling boards fixed to underside of roof rafters. (Existing) with 1 1/2" brass nails including levelling with timber strips where necessary</t>
  </si>
  <si>
    <t>2" X 1/4" Timber Strips</t>
  </si>
  <si>
    <t>3/4" Nails</t>
  </si>
  <si>
    <t>1 1/2"  Brass Nails</t>
  </si>
  <si>
    <t>16.  Painting</t>
  </si>
  <si>
    <t>Wall</t>
  </si>
  <si>
    <t>Sofit</t>
  </si>
  <si>
    <t>Wood</t>
  </si>
  <si>
    <t>Steel</t>
  </si>
  <si>
    <t>16.A.01</t>
  </si>
  <si>
    <t>Preparing and apply one coat of Alkali resistant primer and two coats of emulsion paint to walls.</t>
  </si>
  <si>
    <t>6" Brush</t>
  </si>
  <si>
    <t>Allow 3% of Items (1.06) for Scaffolding</t>
  </si>
  <si>
    <t>16.A.02</t>
  </si>
  <si>
    <t>Painting walls with emulsion paint (2 Coats)</t>
  </si>
  <si>
    <t>Emulsion Paint - first coat</t>
  </si>
  <si>
    <t>Emulsion Paint - Second coat</t>
  </si>
  <si>
    <t>Allow 3% of Items (1.05 ) for Scaffolding</t>
  </si>
  <si>
    <t>16.A.03</t>
  </si>
  <si>
    <t>White or colourwashing two coats in single storey</t>
  </si>
  <si>
    <t>Allow 3% of Items (1.07, 1.08 ) for Scaffolding</t>
  </si>
  <si>
    <t>16.A.04</t>
  </si>
  <si>
    <t>White or colourwashing two coats in two storeyed building</t>
  </si>
  <si>
    <t>16.A.05</t>
  </si>
  <si>
    <t>Cement washing to walls of single storyed building 2 coats</t>
  </si>
  <si>
    <t>6" Coir Brush</t>
  </si>
  <si>
    <t>Soffit</t>
  </si>
  <si>
    <t>16.B.01</t>
  </si>
  <si>
    <t>Preparing and apply one coat of alkali resistant primer and two coats of emulsion paint to soffit of slabs</t>
  </si>
  <si>
    <t>16.C.01</t>
  </si>
  <si>
    <t>Prepare and apply one coat of preservative (oil type) to structural timber including touching up cut ends etc. after fixing.</t>
  </si>
  <si>
    <t>3" Brush</t>
  </si>
  <si>
    <t>16.C.02</t>
  </si>
  <si>
    <t>Painting new timber work with two coats wood preservative</t>
  </si>
  <si>
    <t>16.C.03</t>
  </si>
  <si>
    <t>Preparing and painting wood work with primer and 2 coats Enamel paint</t>
  </si>
  <si>
    <t>16.C.04</t>
  </si>
  <si>
    <t>Varnishing two coats with copal varnish after sandpapering</t>
  </si>
  <si>
    <t>16.C.05</t>
  </si>
  <si>
    <t>Wax polishing to timber in panals &amp; floors</t>
  </si>
  <si>
    <t>16.D.01</t>
  </si>
  <si>
    <t>Prepare surface of steel trusses and apply two coats of anticorrosive primer.</t>
  </si>
  <si>
    <t>16.D.02</t>
  </si>
  <si>
    <t>Apply one coat of anti-Corrosive primer and two coat enamel paint on already shop primed and erected steel roof truss.</t>
  </si>
  <si>
    <t>Allow 3% of Items (1.05, 1.06 ) for Scaffolding</t>
  </si>
  <si>
    <t>16.D.03</t>
  </si>
  <si>
    <t>Prepare and apply two coats primer and finishing soat of enamel paint to mild steel (angle/flat) gate.</t>
  </si>
  <si>
    <t>1 Sq. ft</t>
  </si>
  <si>
    <t>16.D.04</t>
  </si>
  <si>
    <t>Painting steel in new work with 2 coats of anti-corrosive paint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</si>
</sst>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#,##0.000_);\(#,##0.000\)"/>
  </numFmts>
  <fonts count="51">
    <font>
      <sz val="10"/>
      <name val="Arial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u/>
      <sz val="10"/>
      <name val="Times New Roman"/>
      <charset val="134"/>
    </font>
    <font>
      <b/>
      <u/>
      <sz val="10"/>
      <name val="Times New Roman"/>
      <charset val="134"/>
    </font>
    <font>
      <b/>
      <sz val="12"/>
      <color indexed="9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1"/>
      <name val="Times New Roman"/>
      <charset val="134"/>
    </font>
    <font>
      <u/>
      <sz val="10"/>
      <color indexed="12"/>
      <name val="Arial"/>
      <charset val="134"/>
    </font>
    <font>
      <u/>
      <sz val="12"/>
      <name val="Times New Roman"/>
      <charset val="134"/>
    </font>
    <font>
      <sz val="9"/>
      <name val="Times New Roman"/>
      <charset val="134"/>
    </font>
    <font>
      <b/>
      <u/>
      <sz val="9"/>
      <name val="MS Sans Serif"/>
      <charset val="134"/>
    </font>
    <font>
      <b/>
      <sz val="9"/>
      <name val="MS Sans Serif"/>
      <charset val="134"/>
    </font>
    <font>
      <u/>
      <sz val="9"/>
      <name val="MS Sans Serif"/>
      <charset val="134"/>
    </font>
    <font>
      <sz val="8"/>
      <name val="MS Sans Serif"/>
      <charset val="134"/>
    </font>
    <font>
      <sz val="9"/>
      <name val="MS Sans Serif"/>
      <charset val="134"/>
    </font>
    <font>
      <sz val="10"/>
      <name val="MS Sans Serif"/>
      <charset val="134"/>
    </font>
    <font>
      <b/>
      <u/>
      <sz val="13"/>
      <name val="Times New Roman"/>
      <charset val="134"/>
    </font>
    <font>
      <sz val="10"/>
      <color indexed="10"/>
      <name val="Times New Roman"/>
      <charset val="134"/>
    </font>
    <font>
      <b/>
      <sz val="10"/>
      <color indexed="9"/>
      <name val="Times New Roman"/>
      <charset val="134"/>
    </font>
    <font>
      <b/>
      <sz val="10"/>
      <color indexed="17"/>
      <name val="Times New Roman"/>
      <charset val="134"/>
    </font>
    <font>
      <b/>
      <u/>
      <sz val="12"/>
      <name val="Times New Roman"/>
      <charset val="134"/>
    </font>
    <font>
      <sz val="10"/>
      <color rgb="FFFF0000"/>
      <name val="Times New Roman"/>
      <charset val="134"/>
    </font>
    <font>
      <sz val="10"/>
      <color theme="1"/>
      <name val="Times New Roman"/>
      <charset val="134"/>
    </font>
    <font>
      <b/>
      <sz val="10"/>
      <name val="Arial"/>
      <charset val="134"/>
    </font>
    <font>
      <sz val="10"/>
      <name val="Arial"/>
      <charset val="134"/>
    </font>
    <font>
      <b/>
      <u/>
      <sz val="10"/>
      <name val="Arial"/>
      <charset val="134"/>
    </font>
    <font>
      <sz val="10"/>
      <color indexed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9"/>
      <name val="MS Sans Serif"/>
      <charset val="134"/>
    </font>
    <font>
      <b/>
      <vertAlign val="superscript"/>
      <sz val="10"/>
      <name val="Times New Roman"/>
      <charset val="134"/>
    </font>
    <font>
      <vertAlign val="superscript"/>
      <sz val="10"/>
      <name val="Times New Roman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6" fillId="0" borderId="0" applyFont="0" applyFill="0" applyBorder="0" applyAlignment="0" applyProtection="0"/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center"/>
    </xf>
    <xf numFmtId="0" fontId="29" fillId="25" borderId="57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8" applyNumberFormat="0" applyFill="0" applyAlignment="0" applyProtection="0">
      <alignment vertical="center"/>
    </xf>
    <xf numFmtId="0" fontId="35" fillId="0" borderId="58" applyNumberFormat="0" applyFill="0" applyAlignment="0" applyProtection="0">
      <alignment vertical="center"/>
    </xf>
    <xf numFmtId="0" fontId="36" fillId="0" borderId="5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6" borderId="60" applyNumberFormat="0" applyAlignment="0" applyProtection="0">
      <alignment vertical="center"/>
    </xf>
    <xf numFmtId="0" fontId="38" fillId="27" borderId="61" applyNumberFormat="0" applyAlignment="0" applyProtection="0">
      <alignment vertical="center"/>
    </xf>
    <xf numFmtId="0" fontId="39" fillId="27" borderId="60" applyNumberFormat="0" applyAlignment="0" applyProtection="0">
      <alignment vertical="center"/>
    </xf>
    <xf numFmtId="0" fontId="40" fillId="28" borderId="62" applyNumberFormat="0" applyAlignment="0" applyProtection="0">
      <alignment vertical="center"/>
    </xf>
    <xf numFmtId="0" fontId="41" fillId="0" borderId="63" applyNumberFormat="0" applyFill="0" applyAlignment="0" applyProtection="0">
      <alignment vertical="center"/>
    </xf>
    <xf numFmtId="0" fontId="42" fillId="0" borderId="64" applyNumberFormat="0" applyFill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/>
  </cellStyleXfs>
  <cellXfs count="454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76" fontId="1" fillId="0" borderId="0" xfId="1" applyFont="1" applyAlignment="1">
      <alignment horizontal="right" vertical="top"/>
    </xf>
    <xf numFmtId="0" fontId="5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6" fillId="3" borderId="0" xfId="0" applyFont="1" applyFill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" fillId="3" borderId="0" xfId="0" applyFont="1" applyFill="1" applyAlignment="1">
      <alignment horizontal="right" vertical="top"/>
    </xf>
    <xf numFmtId="176" fontId="1" fillId="3" borderId="0" xfId="1" applyFont="1" applyFill="1" applyAlignment="1">
      <alignment horizontal="right" vertical="top"/>
    </xf>
    <xf numFmtId="0" fontId="8" fillId="3" borderId="0" xfId="0" applyFont="1" applyFill="1" applyAlignment="1">
      <alignment horizontal="center" vertical="top" wrapText="1"/>
    </xf>
    <xf numFmtId="0" fontId="9" fillId="3" borderId="0" xfId="6" applyFill="1" applyAlignment="1" applyProtection="1">
      <alignment vertical="top" wrapText="1"/>
    </xf>
    <xf numFmtId="0" fontId="1" fillId="4" borderId="2" xfId="0" applyFont="1" applyFill="1" applyBorder="1" applyAlignment="1">
      <alignment vertical="top"/>
    </xf>
    <xf numFmtId="0" fontId="6" fillId="4" borderId="3" xfId="0" applyFont="1" applyFill="1" applyBorder="1" applyAlignment="1">
      <alignment vertical="top"/>
    </xf>
    <xf numFmtId="0" fontId="7" fillId="4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right" vertical="top"/>
    </xf>
    <xf numFmtId="176" fontId="1" fillId="4" borderId="4" xfId="1" applyFont="1" applyFill="1" applyBorder="1" applyAlignment="1">
      <alignment vertical="top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right" vertical="top"/>
    </xf>
    <xf numFmtId="176" fontId="1" fillId="0" borderId="0" xfId="1" applyFont="1" applyFill="1" applyAlignment="1">
      <alignment vertical="top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176" fontId="3" fillId="0" borderId="0" xfId="1" applyFont="1" applyAlignment="1">
      <alignment horizontal="right" vertical="top"/>
    </xf>
    <xf numFmtId="0" fontId="1" fillId="0" borderId="1" xfId="0" applyFont="1" applyBorder="1" applyAlignment="1">
      <alignment horizontal="center" vertical="center"/>
    </xf>
    <xf numFmtId="176" fontId="1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/>
    </xf>
    <xf numFmtId="176" fontId="1" fillId="0" borderId="1" xfId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2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/>
    </xf>
    <xf numFmtId="176" fontId="2" fillId="6" borderId="1" xfId="1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right" vertical="top"/>
    </xf>
    <xf numFmtId="176" fontId="4" fillId="0" borderId="0" xfId="1" applyFont="1" applyBorder="1" applyAlignment="1">
      <alignment horizontal="right"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10" fillId="4" borderId="2" xfId="0" applyFont="1" applyFill="1" applyBorder="1" applyAlignment="1">
      <alignment horizontal="center" vertical="top"/>
    </xf>
    <xf numFmtId="0" fontId="10" fillId="4" borderId="4" xfId="0" applyFont="1" applyFill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0" xfId="1" applyFont="1" applyFill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vertical="top"/>
    </xf>
    <xf numFmtId="0" fontId="1" fillId="0" borderId="0" xfId="0" applyFont="1"/>
    <xf numFmtId="176" fontId="1" fillId="0" borderId="0" xfId="1" applyFont="1"/>
    <xf numFmtId="0" fontId="6" fillId="7" borderId="1" xfId="0" applyFont="1" applyFill="1" applyBorder="1" applyAlignment="1">
      <alignment vertical="top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right" vertical="center"/>
    </xf>
    <xf numFmtId="0" fontId="2" fillId="6" borderId="6" xfId="0" applyFont="1" applyFill="1" applyBorder="1" applyAlignment="1">
      <alignment horizontal="right" vertical="center"/>
    </xf>
    <xf numFmtId="176" fontId="2" fillId="6" borderId="8" xfId="1" applyFont="1" applyFill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2" fillId="0" borderId="0" xfId="0" applyFont="1" applyFill="1" applyAlignment="1">
      <alignment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Fill="1" applyAlignment="1">
      <alignment vertical="top"/>
    </xf>
    <xf numFmtId="0" fontId="16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right" vertical="top"/>
    </xf>
    <xf numFmtId="176" fontId="16" fillId="0" borderId="0" xfId="1" applyFont="1" applyAlignment="1">
      <alignment horizontal="right" vertical="top"/>
    </xf>
    <xf numFmtId="0" fontId="12" fillId="0" borderId="0" xfId="0" applyFont="1" applyBorder="1" applyAlignment="1">
      <alignment vertical="top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right" vertical="top"/>
    </xf>
    <xf numFmtId="176" fontId="12" fillId="0" borderId="0" xfId="1" applyFont="1" applyBorder="1" applyAlignment="1">
      <alignment horizontal="right" vertical="top"/>
    </xf>
    <xf numFmtId="0" fontId="5" fillId="8" borderId="1" xfId="0" applyFont="1" applyFill="1" applyBorder="1" applyAlignment="1">
      <alignment vertical="top"/>
    </xf>
    <xf numFmtId="0" fontId="1" fillId="3" borderId="0" xfId="0" applyFont="1" applyFill="1" applyAlignment="1">
      <alignment horizontal="center" vertical="top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center"/>
    </xf>
    <xf numFmtId="176" fontId="13" fillId="0" borderId="0" xfId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right" vertical="top"/>
    </xf>
    <xf numFmtId="176" fontId="14" fillId="0" borderId="0" xfId="1" applyFont="1" applyAlignment="1">
      <alignment horizontal="right" vertical="top"/>
    </xf>
    <xf numFmtId="0" fontId="15" fillId="0" borderId="1" xfId="0" applyFont="1" applyBorder="1" applyAlignment="1">
      <alignment horizontal="center" vertical="center"/>
    </xf>
    <xf numFmtId="176" fontId="15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4" fontId="16" fillId="0" borderId="1" xfId="0" applyNumberFormat="1" applyFont="1" applyBorder="1" applyAlignment="1">
      <alignment horizontal="right" vertical="center"/>
    </xf>
    <xf numFmtId="176" fontId="16" fillId="0" borderId="1" xfId="1" applyFont="1" applyBorder="1" applyAlignment="1">
      <alignment horizontal="righ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right" vertical="center"/>
    </xf>
    <xf numFmtId="0" fontId="12" fillId="0" borderId="9" xfId="0" applyFont="1" applyBorder="1" applyAlignment="1">
      <alignment vertical="top"/>
    </xf>
    <xf numFmtId="0" fontId="13" fillId="6" borderId="6" xfId="0" applyFont="1" applyFill="1" applyBorder="1" applyAlignment="1">
      <alignment horizontal="left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right" vertical="center"/>
    </xf>
    <xf numFmtId="176" fontId="13" fillId="6" borderId="1" xfId="1" applyFont="1" applyFill="1" applyBorder="1" applyAlignment="1">
      <alignment vertical="center"/>
    </xf>
    <xf numFmtId="0" fontId="13" fillId="6" borderId="5" xfId="0" applyFont="1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4" fontId="16" fillId="0" borderId="1" xfId="0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Fill="1" applyBorder="1" applyAlignment="1">
      <alignment vertical="top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/>
    </xf>
    <xf numFmtId="0" fontId="1" fillId="9" borderId="0" xfId="0" applyFont="1" applyFill="1" applyAlignment="1">
      <alignment vertical="top"/>
    </xf>
    <xf numFmtId="0" fontId="5" fillId="10" borderId="1" xfId="0" applyFont="1" applyFill="1" applyBorder="1" applyAlignment="1">
      <alignment vertical="top"/>
    </xf>
    <xf numFmtId="176" fontId="1" fillId="3" borderId="0" xfId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176" fontId="4" fillId="0" borderId="0" xfId="1" applyFont="1" applyAlignment="1">
      <alignment horizontal="right" vertical="top"/>
    </xf>
    <xf numFmtId="0" fontId="6" fillId="11" borderId="5" xfId="0" applyFont="1" applyFill="1" applyBorder="1" applyAlignment="1">
      <alignment vertical="center" wrapText="1"/>
    </xf>
    <xf numFmtId="0" fontId="6" fillId="11" borderId="6" xfId="0" applyFont="1" applyFill="1" applyBorder="1" applyAlignment="1">
      <alignment vertical="center" wrapText="1"/>
    </xf>
    <xf numFmtId="0" fontId="6" fillId="11" borderId="8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4" fontId="16" fillId="0" borderId="1" xfId="0" applyNumberFormat="1" applyFont="1" applyBorder="1" applyAlignment="1">
      <alignment vertical="center"/>
    </xf>
    <xf numFmtId="0" fontId="13" fillId="6" borderId="6" xfId="0" applyFont="1" applyFill="1" applyBorder="1" applyAlignment="1">
      <alignment horizontal="right" vertical="center"/>
    </xf>
    <xf numFmtId="176" fontId="13" fillId="6" borderId="8" xfId="1" applyFont="1" applyFill="1" applyBorder="1" applyAlignment="1">
      <alignment vertical="center"/>
    </xf>
    <xf numFmtId="4" fontId="0" fillId="0" borderId="0" xfId="0" applyNumberForma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/>
    </xf>
    <xf numFmtId="4" fontId="0" fillId="12" borderId="7" xfId="0" applyNumberForma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vertical="top"/>
    </xf>
    <xf numFmtId="0" fontId="6" fillId="13" borderId="1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9" fillId="0" borderId="0" xfId="6" applyAlignment="1" applyProtection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76" fontId="16" fillId="0" borderId="0" xfId="1" applyFont="1" applyAlignment="1">
      <alignment horizontal="right" vertical="center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right" vertical="top"/>
    </xf>
    <xf numFmtId="176" fontId="17" fillId="0" borderId="0" xfId="1" applyFont="1" applyAlignment="1">
      <alignment horizontal="right" vertical="top"/>
    </xf>
    <xf numFmtId="2" fontId="16" fillId="0" borderId="1" xfId="0" applyNumberFormat="1" applyFont="1" applyBorder="1" applyAlignment="1">
      <alignment horizontal="center" vertical="center"/>
    </xf>
    <xf numFmtId="0" fontId="6" fillId="12" borderId="1" xfId="0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9" fillId="0" borderId="0" xfId="6" applyAlignment="1" applyProtection="1">
      <alignment vertical="top"/>
    </xf>
    <xf numFmtId="0" fontId="2" fillId="14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right" vertical="center"/>
    </xf>
    <xf numFmtId="0" fontId="3" fillId="0" borderId="0" xfId="0" applyFont="1" applyFill="1" applyAlignment="1">
      <alignment vertical="top"/>
    </xf>
    <xf numFmtId="0" fontId="5" fillId="15" borderId="1" xfId="0" applyFont="1" applyFill="1" applyBorder="1" applyAlignment="1">
      <alignment vertical="top" wrapText="1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right" vertical="top"/>
    </xf>
    <xf numFmtId="176" fontId="3" fillId="0" borderId="0" xfId="1" applyFont="1" applyFill="1" applyAlignment="1">
      <alignment horizontal="right" vertical="top"/>
    </xf>
    <xf numFmtId="0" fontId="6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176" fontId="1" fillId="0" borderId="14" xfId="1" applyFont="1" applyBorder="1" applyAlignment="1">
      <alignment horizontal="right" vertical="center"/>
    </xf>
    <xf numFmtId="176" fontId="2" fillId="6" borderId="15" xfId="1" applyFont="1" applyFill="1" applyBorder="1" applyAlignment="1">
      <alignment vertical="center"/>
    </xf>
    <xf numFmtId="0" fontId="2" fillId="6" borderId="5" xfId="0" applyFont="1" applyFill="1" applyBorder="1" applyAlignment="1">
      <alignment horizontal="right" vertical="center"/>
    </xf>
    <xf numFmtId="176" fontId="2" fillId="6" borderId="16" xfId="1" applyFont="1" applyFill="1" applyBorder="1" applyAlignment="1">
      <alignment vertical="center"/>
    </xf>
    <xf numFmtId="176" fontId="2" fillId="6" borderId="7" xfId="1" applyFont="1" applyFill="1" applyBorder="1" applyAlignment="1">
      <alignment vertical="center"/>
    </xf>
    <xf numFmtId="176" fontId="2" fillId="6" borderId="17" xfId="1" applyFont="1" applyFill="1" applyBorder="1" applyAlignment="1">
      <alignment vertical="center"/>
    </xf>
    <xf numFmtId="176" fontId="1" fillId="0" borderId="0" xfId="1" applyFont="1" applyAlignment="1">
      <alignment vertical="top"/>
    </xf>
    <xf numFmtId="43" fontId="4" fillId="0" borderId="0" xfId="0" applyNumberFormat="1" applyFont="1" applyAlignment="1">
      <alignment vertical="top"/>
    </xf>
    <xf numFmtId="43" fontId="4" fillId="0" borderId="0" xfId="0" applyNumberFormat="1" applyFont="1" applyFill="1" applyAlignment="1">
      <alignment vertical="top"/>
    </xf>
    <xf numFmtId="176" fontId="2" fillId="6" borderId="18" xfId="1" applyFont="1" applyFill="1" applyBorder="1" applyAlignment="1">
      <alignment vertical="center"/>
    </xf>
    <xf numFmtId="176" fontId="1" fillId="0" borderId="0" xfId="1" applyFont="1" applyAlignment="1">
      <alignment horizontal="right" vertical="center"/>
    </xf>
    <xf numFmtId="0" fontId="6" fillId="18" borderId="1" xfId="0" applyFont="1" applyFill="1" applyBorder="1" applyAlignment="1">
      <alignment vertical="top" wrapText="1"/>
    </xf>
    <xf numFmtId="0" fontId="9" fillId="3" borderId="0" xfId="6" applyFont="1" applyFill="1" applyAlignment="1" applyProtection="1">
      <alignment vertical="top" wrapText="1"/>
    </xf>
    <xf numFmtId="176" fontId="3" fillId="0" borderId="0" xfId="1" applyFont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1" applyFont="1" applyFill="1" applyBorder="1" applyAlignment="1">
      <alignment horizontal="center" vertical="center"/>
    </xf>
    <xf numFmtId="176" fontId="4" fillId="0" borderId="0" xfId="1" applyFont="1" applyAlignment="1">
      <alignment vertical="top"/>
    </xf>
    <xf numFmtId="176" fontId="2" fillId="0" borderId="0" xfId="1" applyFont="1" applyAlignment="1">
      <alignment vertical="center"/>
    </xf>
    <xf numFmtId="176" fontId="3" fillId="0" borderId="0" xfId="1" applyFont="1" applyAlignment="1">
      <alignment vertical="top"/>
    </xf>
    <xf numFmtId="178" fontId="1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6" fontId="3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76" fontId="1" fillId="0" borderId="1" xfId="1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43" fontId="1" fillId="0" borderId="0" xfId="0" applyNumberFormat="1" applyFont="1" applyAlignment="1">
      <alignment vertical="top"/>
    </xf>
    <xf numFmtId="0" fontId="6" fillId="19" borderId="1" xfId="0" applyFont="1" applyFill="1" applyBorder="1" applyAlignment="1">
      <alignment vertical="top"/>
    </xf>
    <xf numFmtId="0" fontId="5" fillId="20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176" fontId="1" fillId="0" borderId="6" xfId="1" applyFont="1" applyBorder="1" applyAlignment="1">
      <alignment horizontal="right" vertical="center"/>
    </xf>
    <xf numFmtId="176" fontId="2" fillId="6" borderId="1" xfId="1" applyFont="1" applyFill="1" applyBorder="1" applyAlignment="1">
      <alignment horizontal="right" vertical="center"/>
    </xf>
    <xf numFmtId="0" fontId="2" fillId="6" borderId="1" xfId="1" applyNumberFormat="1" applyFont="1" applyFill="1" applyBorder="1" applyAlignment="1">
      <alignment horizontal="right" vertical="center"/>
    </xf>
    <xf numFmtId="0" fontId="13" fillId="5" borderId="5" xfId="0" applyFont="1" applyFill="1" applyBorder="1" applyAlignment="1">
      <alignment vertical="center"/>
    </xf>
    <xf numFmtId="0" fontId="13" fillId="5" borderId="8" xfId="0" applyFont="1" applyFill="1" applyBorder="1" applyAlignment="1">
      <alignment vertical="center"/>
    </xf>
    <xf numFmtId="176" fontId="16" fillId="0" borderId="6" xfId="1" applyFont="1" applyBorder="1" applyAlignment="1">
      <alignment horizontal="right" vertical="center"/>
    </xf>
    <xf numFmtId="0" fontId="1" fillId="4" borderId="4" xfId="0" applyFont="1" applyFill="1" applyBorder="1" applyAlignment="1">
      <alignment vertical="center"/>
    </xf>
    <xf numFmtId="0" fontId="5" fillId="21" borderId="1" xfId="0" applyFont="1" applyFill="1" applyBorder="1" applyAlignment="1">
      <alignment vertical="top"/>
    </xf>
    <xf numFmtId="0" fontId="6" fillId="0" borderId="0" xfId="0" applyFont="1" applyFill="1" applyAlignment="1">
      <alignment horizontal="center" vertical="center"/>
    </xf>
    <xf numFmtId="0" fontId="9" fillId="0" borderId="0" xfId="6" applyFont="1" applyFill="1" applyAlignment="1" applyProtection="1">
      <alignment horizontal="left" vertical="center"/>
    </xf>
    <xf numFmtId="176" fontId="1" fillId="0" borderId="0" xfId="1" applyFont="1" applyFill="1" applyAlignment="1">
      <alignment horizontal="right" vertical="top"/>
    </xf>
    <xf numFmtId="0" fontId="9" fillId="0" borderId="0" xfId="6" applyFill="1" applyAlignment="1" applyProtection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176" fontId="1" fillId="0" borderId="0" xfId="1" applyFont="1" applyBorder="1" applyAlignment="1">
      <alignment horizontal="right" vertical="top"/>
    </xf>
    <xf numFmtId="176" fontId="2" fillId="0" borderId="0" xfId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4" fontId="1" fillId="0" borderId="1" xfId="0" applyNumberFormat="1" applyFont="1" applyFill="1" applyBorder="1" applyAlignment="1">
      <alignment horizontal="right" vertical="center"/>
    </xf>
    <xf numFmtId="176" fontId="1" fillId="0" borderId="1" xfId="1" applyFont="1" applyFill="1" applyBorder="1" applyAlignment="1">
      <alignment horizontal="right" vertical="center"/>
    </xf>
    <xf numFmtId="0" fontId="1" fillId="0" borderId="0" xfId="0" applyFont="1" applyAlignment="1">
      <alignment vertical="top" wrapText="1"/>
    </xf>
    <xf numFmtId="0" fontId="0" fillId="4" borderId="7" xfId="0" applyFill="1" applyBorder="1"/>
    <xf numFmtId="0" fontId="6" fillId="22" borderId="1" xfId="0" applyFont="1" applyFill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9" fillId="0" borderId="0" xfId="6" applyBorder="1" applyAlignment="1" applyProtection="1">
      <alignment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176" fontId="2" fillId="5" borderId="1" xfId="1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20" fillId="21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2" fillId="1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top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176" fontId="1" fillId="3" borderId="0" xfId="1" applyFont="1" applyFill="1" applyAlignment="1">
      <alignment vertical="center" wrapText="1"/>
    </xf>
    <xf numFmtId="0" fontId="18" fillId="3" borderId="19" xfId="0" applyFont="1" applyFill="1" applyBorder="1" applyAlignment="1">
      <alignment vertical="center" wrapText="1"/>
    </xf>
    <xf numFmtId="0" fontId="2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76" fontId="2" fillId="3" borderId="7" xfId="1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176" fontId="1" fillId="11" borderId="7" xfId="1" applyFont="1" applyFill="1" applyBorder="1" applyAlignment="1">
      <alignment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176" fontId="23" fillId="11" borderId="7" xfId="1" applyFont="1" applyFill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76" fontId="1" fillId="11" borderId="7" xfId="1" applyFont="1" applyFill="1" applyBorder="1" applyAlignment="1">
      <alignment horizontal="right" vertical="center" wrapText="1"/>
    </xf>
    <xf numFmtId="0" fontId="1" fillId="23" borderId="14" xfId="0" applyFont="1" applyFill="1" applyBorder="1" applyAlignment="1">
      <alignment horizontal="center" vertical="center"/>
    </xf>
    <xf numFmtId="0" fontId="1" fillId="23" borderId="5" xfId="0" applyFont="1" applyFill="1" applyBorder="1" applyAlignment="1">
      <alignment horizontal="center" vertical="center" wrapText="1"/>
    </xf>
    <xf numFmtId="176" fontId="23" fillId="23" borderId="7" xfId="1" applyFont="1" applyFill="1" applyBorder="1" applyAlignment="1">
      <alignment horizontal="right" vertical="center" wrapText="1"/>
    </xf>
    <xf numFmtId="0" fontId="1" fillId="23" borderId="1" xfId="0" applyFont="1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vertical="center" wrapText="1"/>
    </xf>
    <xf numFmtId="0" fontId="1" fillId="3" borderId="24" xfId="0" applyFont="1" applyFill="1" applyBorder="1" applyAlignment="1">
      <alignment horizontal="center" vertical="center"/>
    </xf>
    <xf numFmtId="176" fontId="23" fillId="11" borderId="7" xfId="1" applyFont="1" applyFill="1" applyBorder="1" applyAlignment="1">
      <alignment horizontal="right" vertical="center" wrapText="1"/>
    </xf>
    <xf numFmtId="176" fontId="19" fillId="11" borderId="7" xfId="1" applyFont="1" applyFill="1" applyBorder="1" applyAlignment="1">
      <alignment horizontal="right" vertical="center" wrapText="1"/>
    </xf>
    <xf numFmtId="176" fontId="24" fillId="11" borderId="7" xfId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4" fontId="23" fillId="11" borderId="7" xfId="0" applyNumberFormat="1" applyFont="1" applyFill="1" applyBorder="1" applyAlignment="1">
      <alignment vertical="center"/>
    </xf>
    <xf numFmtId="4" fontId="23" fillId="11" borderId="7" xfId="0" applyNumberFormat="1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" fontId="1" fillId="11" borderId="7" xfId="0" applyNumberFormat="1" applyFont="1" applyFill="1" applyBorder="1" applyAlignment="1">
      <alignment horizontal="right" vertical="center" wrapText="1"/>
    </xf>
    <xf numFmtId="2" fontId="1" fillId="11" borderId="7" xfId="0" applyNumberFormat="1" applyFont="1" applyFill="1" applyBorder="1" applyAlignment="1">
      <alignment vertical="center" wrapText="1"/>
    </xf>
    <xf numFmtId="4" fontId="1" fillId="3" borderId="0" xfId="0" applyNumberFormat="1" applyFont="1" applyFill="1" applyBorder="1" applyAlignment="1">
      <alignment horizontal="right" vertical="center" wrapText="1"/>
    </xf>
    <xf numFmtId="4" fontId="23" fillId="11" borderId="7" xfId="0" applyNumberFormat="1" applyFont="1" applyFill="1" applyBorder="1" applyAlignment="1">
      <alignment vertical="center" wrapText="1"/>
    </xf>
    <xf numFmtId="4" fontId="1" fillId="11" borderId="7" xfId="0" applyNumberFormat="1" applyFont="1" applyFill="1" applyBorder="1" applyAlignment="1">
      <alignment vertical="center" wrapText="1"/>
    </xf>
    <xf numFmtId="0" fontId="1" fillId="3" borderId="25" xfId="0" applyFont="1" applyFill="1" applyBorder="1" applyAlignment="1">
      <alignment horizontal="center" vertical="center"/>
    </xf>
    <xf numFmtId="4" fontId="24" fillId="11" borderId="7" xfId="0" applyNumberFormat="1" applyFont="1" applyFill="1" applyBorder="1" applyAlignment="1">
      <alignment vertical="center" wrapText="1"/>
    </xf>
    <xf numFmtId="0" fontId="1" fillId="3" borderId="22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vertical="center" wrapText="1"/>
    </xf>
    <xf numFmtId="176" fontId="19" fillId="11" borderId="7" xfId="1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176" fontId="1" fillId="3" borderId="0" xfId="1" applyFont="1" applyFill="1" applyBorder="1" applyAlignment="1">
      <alignment vertical="center" wrapText="1"/>
    </xf>
    <xf numFmtId="176" fontId="1" fillId="3" borderId="0" xfId="1" applyFont="1" applyFill="1" applyBorder="1" applyAlignment="1">
      <alignment horizontal="right" vertical="center" wrapText="1"/>
    </xf>
    <xf numFmtId="0" fontId="2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43" fontId="26" fillId="0" borderId="0" xfId="49" applyFill="1" applyAlignment="1">
      <alignment vertical="center" wrapText="1"/>
    </xf>
    <xf numFmtId="0" fontId="27" fillId="0" borderId="0" xfId="0" applyFont="1" applyFill="1" applyAlignment="1">
      <alignment horizontal="left" vertical="center" wrapText="1"/>
    </xf>
    <xf numFmtId="0" fontId="25" fillId="7" borderId="26" xfId="0" applyFont="1" applyFill="1" applyBorder="1" applyAlignment="1">
      <alignment horizontal="center" vertical="center" wrapText="1"/>
    </xf>
    <xf numFmtId="0" fontId="25" fillId="22" borderId="27" xfId="0" applyFont="1" applyFill="1" applyBorder="1" applyAlignment="1">
      <alignment horizontal="center" vertical="center" wrapText="1"/>
    </xf>
    <xf numFmtId="0" fontId="25" fillId="24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7" borderId="22" xfId="0" applyFont="1" applyFill="1" applyBorder="1" applyAlignment="1">
      <alignment horizontal="center" vertical="center" wrapText="1"/>
    </xf>
    <xf numFmtId="0" fontId="25" fillId="22" borderId="23" xfId="0" applyFont="1" applyFill="1" applyBorder="1" applyAlignment="1">
      <alignment horizontal="center" vertical="center" wrapText="1"/>
    </xf>
    <xf numFmtId="43" fontId="25" fillId="22" borderId="23" xfId="49" applyFont="1" applyFill="1" applyBorder="1" applyAlignment="1">
      <alignment horizontal="center" vertical="center" wrapText="1"/>
    </xf>
    <xf numFmtId="0" fontId="25" fillId="24" borderId="23" xfId="0" applyFont="1" applyFill="1" applyBorder="1" applyAlignment="1">
      <alignment horizontal="center" vertical="center" wrapText="1"/>
    </xf>
    <xf numFmtId="43" fontId="25" fillId="24" borderId="23" xfId="49" applyFont="1" applyFill="1" applyBorder="1" applyAlignment="1">
      <alignment horizontal="center" vertical="center" wrapText="1"/>
    </xf>
    <xf numFmtId="0" fontId="25" fillId="11" borderId="23" xfId="0" applyFont="1" applyFill="1" applyBorder="1" applyAlignment="1">
      <alignment horizontal="center" vertical="center" wrapText="1"/>
    </xf>
    <xf numFmtId="0" fontId="0" fillId="0" borderId="28" xfId="0" applyFill="1" applyBorder="1" applyAlignment="1">
      <alignment vertical="center" wrapText="1"/>
    </xf>
    <xf numFmtId="0" fontId="0" fillId="0" borderId="29" xfId="0" applyFill="1" applyBorder="1" applyAlignment="1">
      <alignment vertical="center" wrapText="1"/>
    </xf>
    <xf numFmtId="0" fontId="0" fillId="0" borderId="30" xfId="0" applyFill="1" applyBorder="1" applyAlignment="1">
      <alignment horizontal="center" vertical="center" wrapText="1"/>
    </xf>
    <xf numFmtId="43" fontId="26" fillId="0" borderId="16" xfId="49" applyFont="1" applyFill="1" applyBorder="1" applyAlignment="1">
      <alignment vertical="center" wrapText="1"/>
    </xf>
    <xf numFmtId="0" fontId="0" fillId="0" borderId="31" xfId="0" applyFill="1" applyBorder="1" applyAlignment="1">
      <alignment horizontal="center" vertical="center" wrapText="1"/>
    </xf>
    <xf numFmtId="43" fontId="26" fillId="0" borderId="7" xfId="49" applyFill="1" applyBorder="1" applyAlignment="1">
      <alignment vertical="center" wrapText="1"/>
    </xf>
    <xf numFmtId="0" fontId="0" fillId="0" borderId="32" xfId="0" applyFill="1" applyBorder="1" applyAlignment="1">
      <alignment vertical="center" wrapText="1"/>
    </xf>
    <xf numFmtId="0" fontId="0" fillId="0" borderId="33" xfId="0" applyFill="1" applyBorder="1" applyAlignment="1">
      <alignment vertical="center" wrapText="1"/>
    </xf>
    <xf numFmtId="0" fontId="0" fillId="0" borderId="34" xfId="0" applyFill="1" applyBorder="1" applyAlignment="1">
      <alignment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6" xfId="0" applyFill="1" applyBorder="1" applyAlignment="1">
      <alignment vertical="center" wrapText="1"/>
    </xf>
    <xf numFmtId="0" fontId="0" fillId="0" borderId="37" xfId="0" applyFill="1" applyBorder="1" applyAlignment="1">
      <alignment horizontal="center" vertical="center" wrapText="1"/>
    </xf>
    <xf numFmtId="43" fontId="26" fillId="0" borderId="3" xfId="49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38" xfId="0" applyFill="1" applyBorder="1" applyAlignment="1">
      <alignment vertical="center" wrapText="1"/>
    </xf>
    <xf numFmtId="0" fontId="0" fillId="0" borderId="39" xfId="0" applyFill="1" applyBorder="1" applyAlignment="1">
      <alignment horizontal="center" vertical="center" wrapText="1"/>
    </xf>
    <xf numFmtId="43" fontId="26" fillId="0" borderId="7" xfId="49" applyFont="1" applyFill="1" applyBorder="1" applyAlignment="1">
      <alignment vertical="center" wrapText="1"/>
    </xf>
    <xf numFmtId="0" fontId="0" fillId="0" borderId="40" xfId="0" applyFill="1" applyBorder="1" applyAlignment="1">
      <alignment horizontal="center" vertical="center" wrapText="1"/>
    </xf>
    <xf numFmtId="43" fontId="26" fillId="0" borderId="17" xfId="49" applyFill="1" applyBorder="1" applyAlignment="1">
      <alignment vertical="center" wrapText="1"/>
    </xf>
    <xf numFmtId="43" fontId="26" fillId="0" borderId="41" xfId="49" applyFont="1" applyFill="1" applyBorder="1" applyAlignment="1">
      <alignment vertical="center" wrapText="1"/>
    </xf>
    <xf numFmtId="43" fontId="26" fillId="0" borderId="0" xfId="49" applyFill="1" applyBorder="1" applyAlignment="1">
      <alignment vertical="center" wrapText="1"/>
    </xf>
    <xf numFmtId="0" fontId="0" fillId="0" borderId="42" xfId="0" applyFill="1" applyBorder="1" applyAlignment="1">
      <alignment vertical="center" wrapText="1"/>
    </xf>
    <xf numFmtId="0" fontId="0" fillId="0" borderId="43" xfId="0" applyFill="1" applyBorder="1" applyAlignment="1">
      <alignment vertical="center" wrapText="1"/>
    </xf>
    <xf numFmtId="0" fontId="0" fillId="0" borderId="44" xfId="0" applyFill="1" applyBorder="1" applyAlignment="1">
      <alignment horizontal="center" vertical="center" wrapText="1"/>
    </xf>
    <xf numFmtId="43" fontId="26" fillId="0" borderId="17" xfId="49" applyFont="1" applyFill="1" applyBorder="1" applyAlignment="1">
      <alignment vertical="center" wrapText="1"/>
    </xf>
    <xf numFmtId="0" fontId="0" fillId="0" borderId="45" xfId="0" applyFill="1" applyBorder="1" applyAlignment="1">
      <alignment horizontal="center" vertical="center" wrapText="1"/>
    </xf>
    <xf numFmtId="43" fontId="26" fillId="0" borderId="19" xfId="49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46" xfId="0" applyFill="1" applyBorder="1" applyAlignment="1">
      <alignment vertical="center" wrapText="1"/>
    </xf>
    <xf numFmtId="0" fontId="0" fillId="0" borderId="32" xfId="0" applyFill="1" applyBorder="1" applyAlignment="1">
      <alignment vertical="center"/>
    </xf>
    <xf numFmtId="0" fontId="0" fillId="0" borderId="32" xfId="0" applyFill="1" applyBorder="1" applyAlignment="1">
      <alignment horizontal="center" vertical="center"/>
    </xf>
    <xf numFmtId="0" fontId="0" fillId="0" borderId="46" xfId="0" applyFill="1" applyBorder="1" applyAlignment="1">
      <alignment vertical="center"/>
    </xf>
    <xf numFmtId="43" fontId="26" fillId="0" borderId="16" xfId="49" applyFill="1" applyBorder="1" applyAlignment="1">
      <alignment vertical="center" wrapText="1"/>
    </xf>
    <xf numFmtId="0" fontId="0" fillId="0" borderId="47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47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43" fontId="26" fillId="0" borderId="32" xfId="49" applyFill="1" applyBorder="1" applyAlignment="1">
      <alignment vertical="center" wrapText="1"/>
    </xf>
    <xf numFmtId="0" fontId="0" fillId="0" borderId="48" xfId="0" applyFill="1" applyBorder="1" applyAlignment="1">
      <alignment vertical="center" wrapText="1"/>
    </xf>
    <xf numFmtId="0" fontId="0" fillId="0" borderId="19" xfId="0" applyFill="1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vertical="center" wrapText="1"/>
    </xf>
    <xf numFmtId="0" fontId="27" fillId="0" borderId="32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horizontal="center" vertical="center" wrapText="1"/>
    </xf>
    <xf numFmtId="43" fontId="26" fillId="0" borderId="0" xfId="49" applyFont="1" applyFill="1" applyBorder="1" applyAlignment="1">
      <alignment vertical="center" wrapText="1"/>
    </xf>
    <xf numFmtId="0" fontId="0" fillId="0" borderId="49" xfId="0" applyFill="1" applyBorder="1" applyAlignment="1">
      <alignment vertical="center" wrapText="1"/>
    </xf>
    <xf numFmtId="0" fontId="0" fillId="0" borderId="50" xfId="0" applyFill="1" applyBorder="1" applyAlignment="1">
      <alignment vertical="center" wrapText="1"/>
    </xf>
    <xf numFmtId="0" fontId="0" fillId="0" borderId="51" xfId="0" applyFill="1" applyBorder="1" applyAlignment="1">
      <alignment horizontal="center" vertical="center" wrapText="1"/>
    </xf>
    <xf numFmtId="43" fontId="28" fillId="0" borderId="41" xfId="49" applyFont="1" applyFill="1" applyBorder="1" applyAlignment="1">
      <alignment vertical="center" wrapText="1"/>
    </xf>
    <xf numFmtId="0" fontId="0" fillId="0" borderId="52" xfId="0" applyFill="1" applyBorder="1" applyAlignment="1">
      <alignment vertical="center" wrapText="1"/>
    </xf>
    <xf numFmtId="0" fontId="0" fillId="0" borderId="53" xfId="0" applyFill="1" applyBorder="1" applyAlignment="1">
      <alignment horizontal="center" vertical="center" wrapText="1"/>
    </xf>
    <xf numFmtId="4" fontId="0" fillId="0" borderId="0" xfId="0" applyNumberFormat="1" applyFill="1" applyAlignment="1">
      <alignment horizontal="center" vertical="center"/>
    </xf>
    <xf numFmtId="43" fontId="25" fillId="11" borderId="54" xfId="49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3" fontId="25" fillId="11" borderId="55" xfId="49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53" xfId="0" applyFill="1" applyBorder="1" applyAlignment="1">
      <alignment vertical="center" wrapText="1"/>
    </xf>
    <xf numFmtId="43" fontId="26" fillId="0" borderId="51" xfId="49" applyFill="1" applyBorder="1" applyAlignment="1">
      <alignment vertical="center" wrapText="1"/>
    </xf>
    <xf numFmtId="43" fontId="26" fillId="0" borderId="53" xfId="49" applyFill="1" applyBorder="1" applyAlignment="1">
      <alignment vertical="center" wrapText="1"/>
    </xf>
    <xf numFmtId="4" fontId="0" fillId="0" borderId="53" xfId="0" applyNumberFormat="1" applyFill="1" applyBorder="1" applyAlignment="1">
      <alignment horizontal="center" vertical="center"/>
    </xf>
    <xf numFmtId="4" fontId="0" fillId="0" borderId="32" xfId="0" applyNumberFormat="1" applyFill="1" applyBorder="1" applyAlignment="1">
      <alignment horizontal="center" vertical="center"/>
    </xf>
    <xf numFmtId="43" fontId="26" fillId="0" borderId="7" xfId="49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horizontal="center" vertical="center"/>
    </xf>
    <xf numFmtId="4" fontId="0" fillId="0" borderId="19" xfId="0" applyNumberFormat="1" applyFill="1" applyBorder="1" applyAlignment="1">
      <alignment vertical="center"/>
    </xf>
    <xf numFmtId="4" fontId="0" fillId="0" borderId="19" xfId="0" applyNumberFormat="1" applyFill="1" applyBorder="1" applyAlignment="1">
      <alignment horizontal="center" vertical="center"/>
    </xf>
    <xf numFmtId="4" fontId="0" fillId="0" borderId="32" xfId="0" applyNumberFormat="1" applyFill="1" applyBorder="1" applyAlignment="1">
      <alignment vertical="center"/>
    </xf>
    <xf numFmtId="0" fontId="0" fillId="0" borderId="32" xfId="0" applyFill="1" applyBorder="1" applyAlignment="1">
      <alignment horizontal="center" vertical="center" wrapText="1"/>
    </xf>
    <xf numFmtId="4" fontId="0" fillId="0" borderId="46" xfId="0" applyNumberFormat="1" applyFill="1" applyBorder="1" applyAlignment="1">
      <alignment horizontal="left" vertical="center" wrapText="1"/>
    </xf>
    <xf numFmtId="4" fontId="25" fillId="0" borderId="32" xfId="0" applyNumberFormat="1" applyFont="1" applyFill="1" applyBorder="1" applyAlignment="1">
      <alignment vertical="center" wrapText="1"/>
    </xf>
    <xf numFmtId="4" fontId="0" fillId="0" borderId="47" xfId="0" applyNumberFormat="1" applyFill="1" applyBorder="1" applyAlignment="1">
      <alignment horizontal="left" vertical="center" wrapText="1"/>
    </xf>
    <xf numFmtId="4" fontId="0" fillId="0" borderId="56" xfId="0" applyNumberFormat="1" applyFill="1" applyBorder="1" applyAlignment="1">
      <alignment vertical="center"/>
    </xf>
    <xf numFmtId="4" fontId="0" fillId="0" borderId="51" xfId="0" applyNumberFormat="1" applyFill="1" applyBorder="1" applyAlignment="1">
      <alignment vertical="center"/>
    </xf>
    <xf numFmtId="4" fontId="0" fillId="0" borderId="53" xfId="0" applyNumberFormat="1" applyFill="1" applyBorder="1" applyAlignment="1">
      <alignment vertical="center"/>
    </xf>
    <xf numFmtId="4" fontId="25" fillId="0" borderId="0" xfId="0" applyNumberFormat="1" applyFont="1" applyFill="1" applyBorder="1" applyAlignment="1">
      <alignment vertical="center" wrapText="1"/>
    </xf>
    <xf numFmtId="4" fontId="26" fillId="0" borderId="47" xfId="0" applyNumberFormat="1" applyFont="1" applyFill="1" applyBorder="1" applyAlignment="1">
      <alignment vertical="center"/>
    </xf>
    <xf numFmtId="4" fontId="25" fillId="0" borderId="0" xfId="0" applyNumberFormat="1" applyFont="1" applyFill="1" applyBorder="1" applyAlignment="1">
      <alignment vertical="center"/>
    </xf>
    <xf numFmtId="43" fontId="25" fillId="0" borderId="7" xfId="49" applyFont="1" applyFill="1" applyBorder="1" applyAlignment="1">
      <alignment vertical="center" wrapText="1"/>
    </xf>
    <xf numFmtId="3" fontId="25" fillId="0" borderId="0" xfId="0" applyNumberFormat="1" applyFont="1" applyFill="1" applyBorder="1" applyAlignment="1">
      <alignment vertical="center"/>
    </xf>
    <xf numFmtId="4" fontId="25" fillId="0" borderId="0" xfId="0" applyNumberFormat="1" applyFont="1" applyFill="1" applyBorder="1" applyAlignment="1">
      <alignment horizontal="center" vertical="center"/>
    </xf>
    <xf numFmtId="43" fontId="26" fillId="0" borderId="7" xfId="49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4" fontId="25" fillId="0" borderId="0" xfId="0" applyNumberFormat="1" applyFont="1" applyAlignment="1">
      <alignment vertical="top" wrapText="1"/>
    </xf>
    <xf numFmtId="4" fontId="25" fillId="0" borderId="51" xfId="0" applyNumberFormat="1" applyFont="1" applyFill="1" applyBorder="1" applyAlignment="1">
      <alignment vertical="center"/>
    </xf>
    <xf numFmtId="3" fontId="25" fillId="0" borderId="0" xfId="0" applyNumberFormat="1" applyFont="1" applyFill="1" applyAlignment="1">
      <alignment vertical="center"/>
    </xf>
    <xf numFmtId="4" fontId="0" fillId="0" borderId="48" xfId="0" applyNumberFormat="1" applyFill="1" applyBorder="1" applyAlignment="1">
      <alignment horizontal="left" vertical="center" wrapText="1"/>
    </xf>
    <xf numFmtId="4" fontId="0" fillId="0" borderId="19" xfId="0" applyNumberFormat="1" applyFill="1" applyBorder="1" applyAlignment="1">
      <alignment vertical="center" wrapText="1"/>
    </xf>
    <xf numFmtId="0" fontId="1" fillId="3" borderId="5" xfId="0" applyFont="1" applyFill="1" applyBorder="1" applyAlignment="1" quotePrefix="1">
      <alignment horizontal="center" vertical="center" wrapText="1"/>
    </xf>
    <xf numFmtId="0" fontId="16" fillId="0" borderId="1" xfId="0" applyFont="1" applyBorder="1" applyAlignment="1" quotePrefix="1">
      <alignment horizontal="center" vertical="center"/>
    </xf>
    <xf numFmtId="0" fontId="2" fillId="5" borderId="5" xfId="0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13" fillId="5" borderId="5" xfId="0" applyFont="1" applyFill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_B.S.R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0"/>
  </sheetPr>
  <dimension ref="A1:K207"/>
  <sheetViews>
    <sheetView zoomScale="130" zoomScaleNormal="130" workbookViewId="0">
      <pane ySplit="5" topLeftCell="A21" activePane="bottomLeft" state="frozen"/>
      <selection/>
      <selection pane="bottomLeft" activeCell="G217" sqref="G217"/>
    </sheetView>
  </sheetViews>
  <sheetFormatPr defaultColWidth="9" defaultRowHeight="12.75"/>
  <cols>
    <col min="1" max="1" width="13" style="348" customWidth="1"/>
    <col min="2" max="2" width="38.5714285714286" style="348" customWidth="1"/>
    <col min="3" max="3" width="9" style="349" customWidth="1"/>
    <col min="4" max="4" width="16.1428571428571" style="350" customWidth="1"/>
    <col min="5" max="5" width="15.7142857142857" style="348" customWidth="1"/>
    <col min="6" max="6" width="8.57142857142857" style="349" customWidth="1"/>
    <col min="7" max="7" width="12.5714285714286" style="350" customWidth="1"/>
    <col min="8" max="8" width="13.7142857142857" style="348" customWidth="1"/>
    <col min="9" max="9" width="9.14285714285714" style="348"/>
    <col min="10" max="10" width="13.1428571428571" style="350" customWidth="1"/>
    <col min="11" max="16384" width="9.14285714285714" style="348"/>
  </cols>
  <sheetData>
    <row r="1" spans="1:2">
      <c r="A1" s="351" t="s">
        <v>0</v>
      </c>
      <c r="B1" s="351"/>
    </row>
    <row r="2" spans="1:2">
      <c r="A2" s="351"/>
      <c r="B2" s="351"/>
    </row>
    <row r="3" ht="13.5"/>
    <row r="4" s="346" customFormat="1" ht="30.75" customHeight="1" spans="1:11">
      <c r="A4" s="352" t="s">
        <v>1</v>
      </c>
      <c r="B4" s="353" t="s">
        <v>2</v>
      </c>
      <c r="C4" s="353"/>
      <c r="D4" s="353"/>
      <c r="E4" s="354" t="s">
        <v>3</v>
      </c>
      <c r="F4" s="354"/>
      <c r="G4" s="354"/>
      <c r="H4" s="355" t="s">
        <v>4</v>
      </c>
      <c r="I4" s="355"/>
      <c r="J4" s="417"/>
      <c r="K4" s="418"/>
    </row>
    <row r="5" s="346" customFormat="1" ht="21.75" customHeight="1" spans="1:10">
      <c r="A5" s="356"/>
      <c r="B5" s="357" t="s">
        <v>5</v>
      </c>
      <c r="C5" s="357" t="s">
        <v>6</v>
      </c>
      <c r="D5" s="358" t="s">
        <v>7</v>
      </c>
      <c r="E5" s="359" t="s">
        <v>5</v>
      </c>
      <c r="F5" s="359" t="s">
        <v>6</v>
      </c>
      <c r="G5" s="360" t="s">
        <v>7</v>
      </c>
      <c r="H5" s="361" t="s">
        <v>5</v>
      </c>
      <c r="I5" s="361" t="s">
        <v>6</v>
      </c>
      <c r="J5" s="419" t="s">
        <v>7</v>
      </c>
    </row>
    <row r="6" ht="26.25" customHeight="1" spans="1:10">
      <c r="A6" s="362" t="s">
        <v>8</v>
      </c>
      <c r="B6" s="363" t="s">
        <v>9</v>
      </c>
      <c r="C6" s="364" t="s">
        <v>10</v>
      </c>
      <c r="D6" s="365"/>
      <c r="E6" s="362" t="s">
        <v>11</v>
      </c>
      <c r="F6" s="366" t="s">
        <v>12</v>
      </c>
      <c r="G6" s="367">
        <v>2500</v>
      </c>
      <c r="H6" s="368" t="s">
        <v>13</v>
      </c>
      <c r="I6" s="368"/>
      <c r="J6" s="420"/>
    </row>
    <row r="7" ht="26.25" customHeight="1" spans="1:10">
      <c r="A7" s="369" t="s">
        <v>8</v>
      </c>
      <c r="B7" s="370" t="s">
        <v>14</v>
      </c>
      <c r="C7" s="371" t="s">
        <v>10</v>
      </c>
      <c r="D7" s="365"/>
      <c r="E7" s="372"/>
      <c r="F7" s="373"/>
      <c r="G7" s="374"/>
      <c r="H7" s="375"/>
      <c r="I7" s="375"/>
      <c r="J7" s="421"/>
    </row>
    <row r="8" ht="26.25" customHeight="1" spans="1:10">
      <c r="A8" s="369" t="s">
        <v>8</v>
      </c>
      <c r="B8" s="376" t="s">
        <v>15</v>
      </c>
      <c r="C8" s="377" t="s">
        <v>16</v>
      </c>
      <c r="D8" s="378"/>
      <c r="E8" s="369" t="s">
        <v>17</v>
      </c>
      <c r="F8" s="379" t="s">
        <v>12</v>
      </c>
      <c r="G8" s="380">
        <v>2000</v>
      </c>
      <c r="H8" s="375"/>
      <c r="I8" s="375"/>
      <c r="J8" s="422"/>
    </row>
    <row r="9" ht="26.25" customHeight="1" spans="1:10">
      <c r="A9" s="369" t="s">
        <v>8</v>
      </c>
      <c r="B9" s="376" t="s">
        <v>18</v>
      </c>
      <c r="C9" s="377" t="s">
        <v>19</v>
      </c>
      <c r="D9" s="381"/>
      <c r="E9" s="369"/>
      <c r="F9" s="379"/>
      <c r="G9" s="382"/>
      <c r="H9" s="375"/>
      <c r="I9" s="375"/>
      <c r="J9" s="422"/>
    </row>
    <row r="10" ht="26.25" customHeight="1" spans="1:10">
      <c r="A10" s="369" t="s">
        <v>8</v>
      </c>
      <c r="B10" s="376" t="s">
        <v>20</v>
      </c>
      <c r="C10" s="377" t="s">
        <v>19</v>
      </c>
      <c r="D10" s="378"/>
      <c r="E10" s="369"/>
      <c r="F10" s="379"/>
      <c r="G10" s="382"/>
      <c r="H10" s="375"/>
      <c r="I10" s="375"/>
      <c r="J10" s="422"/>
    </row>
    <row r="11" ht="26.25" customHeight="1" spans="1:10">
      <c r="A11" s="383" t="s">
        <v>8</v>
      </c>
      <c r="B11" s="384" t="s">
        <v>21</v>
      </c>
      <c r="C11" s="385" t="s">
        <v>22</v>
      </c>
      <c r="D11" s="386"/>
      <c r="E11" s="383"/>
      <c r="F11" s="387"/>
      <c r="G11" s="388"/>
      <c r="H11" s="389"/>
      <c r="I11" s="389"/>
      <c r="J11" s="423"/>
    </row>
    <row r="12" ht="27" customHeight="1" spans="1:10">
      <c r="A12" s="390" t="s">
        <v>23</v>
      </c>
      <c r="B12" s="391" t="s">
        <v>24</v>
      </c>
      <c r="C12" s="392" t="s">
        <v>25</v>
      </c>
      <c r="D12" s="365">
        <v>1850</v>
      </c>
      <c r="E12" s="393" t="s">
        <v>26</v>
      </c>
      <c r="F12" s="392" t="s">
        <v>12</v>
      </c>
      <c r="G12" s="394">
        <v>2500</v>
      </c>
      <c r="H12" s="391" t="s">
        <v>27</v>
      </c>
      <c r="I12" s="391"/>
      <c r="J12" s="378">
        <v>2000</v>
      </c>
    </row>
    <row r="13" ht="27" customHeight="1" spans="1:10">
      <c r="A13" s="395" t="s">
        <v>23</v>
      </c>
      <c r="B13" s="396" t="s">
        <v>28</v>
      </c>
      <c r="C13" s="397" t="s">
        <v>10</v>
      </c>
      <c r="D13" s="378">
        <v>15000</v>
      </c>
      <c r="E13" s="398" t="s">
        <v>29</v>
      </c>
      <c r="F13" s="397" t="s">
        <v>12</v>
      </c>
      <c r="G13" s="367">
        <v>2000</v>
      </c>
      <c r="H13" s="396" t="s">
        <v>30</v>
      </c>
      <c r="I13" s="396"/>
      <c r="J13" s="367">
        <v>1500</v>
      </c>
    </row>
    <row r="14" ht="27" customHeight="1" spans="1:10">
      <c r="A14" s="395" t="s">
        <v>23</v>
      </c>
      <c r="B14" s="396" t="s">
        <v>31</v>
      </c>
      <c r="C14" s="397" t="s">
        <v>10</v>
      </c>
      <c r="D14" s="381">
        <v>12000</v>
      </c>
      <c r="E14" s="398" t="s">
        <v>32</v>
      </c>
      <c r="F14" s="397" t="s">
        <v>12</v>
      </c>
      <c r="G14" s="367">
        <v>2000</v>
      </c>
      <c r="H14" s="375"/>
      <c r="I14" s="375"/>
      <c r="J14" s="424"/>
    </row>
    <row r="15" ht="27" customHeight="1" spans="1:10">
      <c r="A15" s="395" t="s">
        <v>23</v>
      </c>
      <c r="B15" s="396" t="s">
        <v>33</v>
      </c>
      <c r="C15" s="397" t="s">
        <v>10</v>
      </c>
      <c r="D15" s="378"/>
      <c r="E15" s="395" t="s">
        <v>34</v>
      </c>
      <c r="F15" s="397" t="s">
        <v>12</v>
      </c>
      <c r="G15" s="378">
        <v>2000</v>
      </c>
      <c r="H15" s="375"/>
      <c r="I15" s="375"/>
      <c r="J15" s="424"/>
    </row>
    <row r="16" ht="27" customHeight="1" spans="1:10">
      <c r="A16" s="395" t="s">
        <v>23</v>
      </c>
      <c r="B16" s="396" t="s">
        <v>35</v>
      </c>
      <c r="C16" s="397" t="s">
        <v>10</v>
      </c>
      <c r="D16" s="381"/>
      <c r="E16" s="395"/>
      <c r="F16" s="399"/>
      <c r="G16" s="400"/>
      <c r="H16" s="375"/>
      <c r="I16" s="375"/>
      <c r="J16" s="424"/>
    </row>
    <row r="17" ht="27" customHeight="1" spans="1:10">
      <c r="A17" s="401" t="s">
        <v>23</v>
      </c>
      <c r="B17" s="402" t="s">
        <v>36</v>
      </c>
      <c r="C17" s="403" t="s">
        <v>37</v>
      </c>
      <c r="D17" s="378"/>
      <c r="E17" s="401"/>
      <c r="F17" s="404"/>
      <c r="G17" s="388"/>
      <c r="H17" s="389"/>
      <c r="I17" s="389"/>
      <c r="J17" s="425"/>
    </row>
    <row r="18" ht="24" customHeight="1" spans="1:10">
      <c r="A18" s="390" t="s">
        <v>38</v>
      </c>
      <c r="B18" s="391" t="s">
        <v>39</v>
      </c>
      <c r="C18" s="392" t="s">
        <v>16</v>
      </c>
      <c r="D18" s="365"/>
      <c r="E18" s="391" t="s">
        <v>26</v>
      </c>
      <c r="F18" s="392" t="s">
        <v>12</v>
      </c>
      <c r="G18" s="394">
        <f>$G$6</f>
        <v>2500</v>
      </c>
      <c r="H18" s="368"/>
      <c r="I18" s="368"/>
      <c r="J18" s="421"/>
    </row>
    <row r="19" ht="24" customHeight="1" spans="1:10">
      <c r="A19" s="395" t="s">
        <v>38</v>
      </c>
      <c r="B19" s="396" t="s">
        <v>40</v>
      </c>
      <c r="C19" s="397" t="s">
        <v>19</v>
      </c>
      <c r="D19" s="378"/>
      <c r="E19" s="396" t="s">
        <v>29</v>
      </c>
      <c r="F19" s="397" t="s">
        <v>12</v>
      </c>
      <c r="G19" s="367">
        <f>$G$8</f>
        <v>2000</v>
      </c>
      <c r="H19" s="375"/>
      <c r="I19" s="375"/>
      <c r="J19" s="422"/>
    </row>
    <row r="20" ht="24" customHeight="1" spans="1:10">
      <c r="A20" s="395" t="s">
        <v>38</v>
      </c>
      <c r="B20" s="396" t="s">
        <v>41</v>
      </c>
      <c r="C20" s="397" t="s">
        <v>19</v>
      </c>
      <c r="D20" s="381"/>
      <c r="E20" s="375"/>
      <c r="F20" s="399"/>
      <c r="G20" s="382"/>
      <c r="H20" s="375"/>
      <c r="I20" s="375"/>
      <c r="J20" s="422"/>
    </row>
    <row r="21" ht="24" customHeight="1" spans="1:10">
      <c r="A21" s="395" t="s">
        <v>38</v>
      </c>
      <c r="B21" s="396" t="s">
        <v>42</v>
      </c>
      <c r="C21" s="397" t="s">
        <v>19</v>
      </c>
      <c r="D21" s="378"/>
      <c r="E21" s="375"/>
      <c r="F21" s="399"/>
      <c r="G21" s="382"/>
      <c r="H21" s="375"/>
      <c r="I21" s="375"/>
      <c r="J21" s="422"/>
    </row>
    <row r="22" ht="24" customHeight="1" spans="1:10">
      <c r="A22" s="395" t="s">
        <v>38</v>
      </c>
      <c r="B22" s="396" t="s">
        <v>21</v>
      </c>
      <c r="C22" s="397" t="s">
        <v>22</v>
      </c>
      <c r="D22" s="381"/>
      <c r="E22" s="375"/>
      <c r="F22" s="399"/>
      <c r="G22" s="382"/>
      <c r="H22" s="375"/>
      <c r="I22" s="375"/>
      <c r="J22" s="422"/>
    </row>
    <row r="23" ht="24" customHeight="1" spans="1:10">
      <c r="A23" s="395" t="s">
        <v>38</v>
      </c>
      <c r="B23" s="396" t="s">
        <v>43</v>
      </c>
      <c r="C23" s="397" t="s">
        <v>44</v>
      </c>
      <c r="D23" s="378"/>
      <c r="E23" s="375"/>
      <c r="F23" s="399"/>
      <c r="G23" s="382"/>
      <c r="H23" s="375"/>
      <c r="I23" s="375"/>
      <c r="J23" s="422"/>
    </row>
    <row r="24" ht="24" customHeight="1" spans="1:10">
      <c r="A24" s="401" t="s">
        <v>38</v>
      </c>
      <c r="B24" s="402" t="s">
        <v>45</v>
      </c>
      <c r="C24" s="403" t="s">
        <v>46</v>
      </c>
      <c r="D24" s="378"/>
      <c r="E24" s="389"/>
      <c r="F24" s="404"/>
      <c r="G24" s="388"/>
      <c r="H24" s="389"/>
      <c r="I24" s="389"/>
      <c r="J24" s="423"/>
    </row>
    <row r="25" ht="23.25" customHeight="1" spans="1:10">
      <c r="A25" s="390" t="s">
        <v>47</v>
      </c>
      <c r="B25" s="405" t="s">
        <v>48</v>
      </c>
      <c r="C25" s="406"/>
      <c r="D25" s="365"/>
      <c r="E25" s="391" t="s">
        <v>49</v>
      </c>
      <c r="F25" s="392" t="s">
        <v>12</v>
      </c>
      <c r="G25" s="394">
        <v>700</v>
      </c>
      <c r="H25" s="368"/>
      <c r="I25" s="368"/>
      <c r="J25" s="421"/>
    </row>
    <row r="26" ht="23.25" customHeight="1" spans="1:10">
      <c r="A26" s="395" t="s">
        <v>47</v>
      </c>
      <c r="B26" s="396" t="s">
        <v>50</v>
      </c>
      <c r="C26" s="397" t="s">
        <v>22</v>
      </c>
      <c r="D26" s="378"/>
      <c r="E26" s="396" t="s">
        <v>51</v>
      </c>
      <c r="F26" s="397" t="s">
        <v>12</v>
      </c>
      <c r="G26" s="367">
        <v>450</v>
      </c>
      <c r="H26" s="375"/>
      <c r="I26" s="375"/>
      <c r="J26" s="422"/>
    </row>
    <row r="27" ht="23.25" customHeight="1" spans="1:10">
      <c r="A27" s="395" t="s">
        <v>47</v>
      </c>
      <c r="B27" s="396" t="s">
        <v>52</v>
      </c>
      <c r="C27" s="397" t="s">
        <v>22</v>
      </c>
      <c r="D27" s="381"/>
      <c r="E27" s="375"/>
      <c r="F27" s="399"/>
      <c r="G27" s="382"/>
      <c r="H27" s="375"/>
      <c r="I27" s="375"/>
      <c r="J27" s="422"/>
    </row>
    <row r="28" ht="23.25" customHeight="1" spans="1:10">
      <c r="A28" s="395" t="s">
        <v>47</v>
      </c>
      <c r="B28" s="396" t="s">
        <v>53</v>
      </c>
      <c r="C28" s="397" t="s">
        <v>22</v>
      </c>
      <c r="D28" s="378"/>
      <c r="E28" s="375"/>
      <c r="F28" s="399"/>
      <c r="G28" s="382"/>
      <c r="H28" s="375"/>
      <c r="I28" s="375"/>
      <c r="J28" s="422"/>
    </row>
    <row r="29" ht="23.25" customHeight="1" spans="1:10">
      <c r="A29" s="395" t="s">
        <v>47</v>
      </c>
      <c r="B29" s="396" t="s">
        <v>54</v>
      </c>
      <c r="C29" s="397" t="s">
        <v>22</v>
      </c>
      <c r="D29" s="381"/>
      <c r="E29" s="375"/>
      <c r="F29" s="399"/>
      <c r="G29" s="382"/>
      <c r="H29" s="375"/>
      <c r="I29" s="375"/>
      <c r="J29" s="422"/>
    </row>
    <row r="30" ht="23.25" customHeight="1" spans="1:10">
      <c r="A30" s="395" t="s">
        <v>47</v>
      </c>
      <c r="B30" s="396" t="s">
        <v>55</v>
      </c>
      <c r="C30" s="397" t="s">
        <v>22</v>
      </c>
      <c r="D30" s="378"/>
      <c r="E30" s="375"/>
      <c r="F30" s="399"/>
      <c r="G30" s="382"/>
      <c r="H30" s="375"/>
      <c r="I30" s="375"/>
      <c r="J30" s="422"/>
    </row>
    <row r="31" ht="23.25" customHeight="1" spans="1:10">
      <c r="A31" s="395" t="s">
        <v>47</v>
      </c>
      <c r="B31" s="396" t="s">
        <v>56</v>
      </c>
      <c r="C31" s="397" t="s">
        <v>22</v>
      </c>
      <c r="D31" s="378"/>
      <c r="E31" s="375"/>
      <c r="F31" s="399"/>
      <c r="G31" s="382"/>
      <c r="H31" s="375"/>
      <c r="I31" s="375"/>
      <c r="J31" s="422"/>
    </row>
    <row r="32" ht="26.25" spans="1:10">
      <c r="A32" s="395" t="s">
        <v>47</v>
      </c>
      <c r="B32" s="407" t="s">
        <v>57</v>
      </c>
      <c r="C32" s="408"/>
      <c r="D32" s="409"/>
      <c r="E32" s="375"/>
      <c r="F32" s="399"/>
      <c r="G32" s="382"/>
      <c r="H32" s="375"/>
      <c r="I32" s="375"/>
      <c r="J32" s="422"/>
    </row>
    <row r="33" ht="20.25" customHeight="1" spans="1:10">
      <c r="A33" s="395" t="s">
        <v>47</v>
      </c>
      <c r="B33" s="396" t="s">
        <v>55</v>
      </c>
      <c r="C33" s="397" t="s">
        <v>22</v>
      </c>
      <c r="D33" s="378"/>
      <c r="E33" s="375"/>
      <c r="F33" s="399"/>
      <c r="G33" s="382"/>
      <c r="H33" s="375"/>
      <c r="I33" s="375"/>
      <c r="J33" s="422"/>
    </row>
    <row r="34" ht="20.25" customHeight="1" spans="1:10">
      <c r="A34" s="401" t="s">
        <v>47</v>
      </c>
      <c r="B34" s="402" t="s">
        <v>58</v>
      </c>
      <c r="C34" s="403" t="s">
        <v>22</v>
      </c>
      <c r="D34" s="378"/>
      <c r="E34" s="389"/>
      <c r="F34" s="404"/>
      <c r="G34" s="388"/>
      <c r="H34" s="389"/>
      <c r="I34" s="389"/>
      <c r="J34" s="423"/>
    </row>
    <row r="35" ht="26.25" customHeight="1" spans="1:10">
      <c r="A35" s="410" t="s">
        <v>59</v>
      </c>
      <c r="B35" s="391" t="s">
        <v>60</v>
      </c>
      <c r="C35" s="392" t="s">
        <v>10</v>
      </c>
      <c r="D35" s="365">
        <v>5000</v>
      </c>
      <c r="E35" s="391" t="s">
        <v>49</v>
      </c>
      <c r="F35" s="392" t="s">
        <v>12</v>
      </c>
      <c r="G35" s="394">
        <v>2500</v>
      </c>
      <c r="H35" s="368"/>
      <c r="I35" s="368"/>
      <c r="J35" s="421"/>
    </row>
    <row r="36" ht="26.25" customHeight="1" spans="1:10">
      <c r="A36" s="411" t="s">
        <v>59</v>
      </c>
      <c r="B36" s="396" t="s">
        <v>61</v>
      </c>
      <c r="C36" s="397" t="s">
        <v>25</v>
      </c>
      <c r="D36" s="378">
        <v>1850</v>
      </c>
      <c r="E36" s="396" t="s">
        <v>51</v>
      </c>
      <c r="F36" s="397" t="s">
        <v>12</v>
      </c>
      <c r="G36" s="367">
        <v>2000</v>
      </c>
      <c r="H36" s="375"/>
      <c r="I36" s="375"/>
      <c r="J36" s="422"/>
    </row>
    <row r="37" ht="26.25" customHeight="1" spans="1:10">
      <c r="A37" s="411" t="s">
        <v>59</v>
      </c>
      <c r="B37" s="396" t="s">
        <v>62</v>
      </c>
      <c r="C37" s="397" t="s">
        <v>10</v>
      </c>
      <c r="D37" s="381">
        <v>15000</v>
      </c>
      <c r="E37" s="375"/>
      <c r="F37" s="399"/>
      <c r="G37" s="382"/>
      <c r="H37" s="375"/>
      <c r="I37" s="375"/>
      <c r="J37" s="422"/>
    </row>
    <row r="38" ht="26.25" customHeight="1" spans="1:10">
      <c r="A38" s="411" t="s">
        <v>59</v>
      </c>
      <c r="B38" s="396" t="s">
        <v>63</v>
      </c>
      <c r="C38" s="397" t="s">
        <v>37</v>
      </c>
      <c r="D38" s="378"/>
      <c r="E38" s="375"/>
      <c r="F38" s="399"/>
      <c r="G38" s="382"/>
      <c r="H38" s="375"/>
      <c r="I38" s="375"/>
      <c r="J38" s="422"/>
    </row>
    <row r="39" ht="26.25" customHeight="1" spans="1:10">
      <c r="A39" s="411" t="s">
        <v>59</v>
      </c>
      <c r="B39" s="375" t="s">
        <v>64</v>
      </c>
      <c r="C39" s="412" t="s">
        <v>46</v>
      </c>
      <c r="D39" s="413"/>
      <c r="E39" s="375"/>
      <c r="F39" s="399"/>
      <c r="G39" s="382"/>
      <c r="H39" s="375"/>
      <c r="I39" s="375"/>
      <c r="J39" s="422"/>
    </row>
    <row r="40" ht="26.25" customHeight="1" spans="1:10">
      <c r="A40" s="411" t="s">
        <v>59</v>
      </c>
      <c r="B40" s="375" t="s">
        <v>65</v>
      </c>
      <c r="C40" s="412" t="s">
        <v>46</v>
      </c>
      <c r="D40" s="378">
        <v>65</v>
      </c>
      <c r="E40" s="375"/>
      <c r="F40" s="399"/>
      <c r="G40" s="382"/>
      <c r="H40" s="375"/>
      <c r="I40" s="375"/>
      <c r="J40" s="422"/>
    </row>
    <row r="41" ht="26.25" customHeight="1" spans="1:10">
      <c r="A41" s="414" t="s">
        <v>59</v>
      </c>
      <c r="B41" s="389" t="s">
        <v>66</v>
      </c>
      <c r="C41" s="415" t="s">
        <v>46</v>
      </c>
      <c r="D41" s="378"/>
      <c r="E41" s="389"/>
      <c r="F41" s="404"/>
      <c r="G41" s="388"/>
      <c r="H41" s="389"/>
      <c r="I41" s="389"/>
      <c r="J41" s="423"/>
    </row>
    <row r="42" ht="21.75" customHeight="1" spans="1:10">
      <c r="A42" s="410" t="s">
        <v>67</v>
      </c>
      <c r="B42" s="391" t="s">
        <v>24</v>
      </c>
      <c r="C42" s="392" t="s">
        <v>25</v>
      </c>
      <c r="D42" s="365">
        <v>1850</v>
      </c>
      <c r="E42" s="391" t="s">
        <v>26</v>
      </c>
      <c r="F42" s="392" t="s">
        <v>12</v>
      </c>
      <c r="G42" s="394">
        <v>2500</v>
      </c>
      <c r="H42" s="368"/>
      <c r="I42" s="368"/>
      <c r="J42" s="421"/>
    </row>
    <row r="43" ht="21.75" customHeight="1" spans="1:10">
      <c r="A43" s="411" t="s">
        <v>67</v>
      </c>
      <c r="B43" s="396" t="s">
        <v>28</v>
      </c>
      <c r="C43" s="397" t="s">
        <v>10</v>
      </c>
      <c r="D43" s="378">
        <v>15000</v>
      </c>
      <c r="E43" s="396" t="s">
        <v>29</v>
      </c>
      <c r="F43" s="397" t="s">
        <v>12</v>
      </c>
      <c r="G43" s="367">
        <v>2000</v>
      </c>
      <c r="H43" s="375"/>
      <c r="I43" s="375"/>
      <c r="J43" s="422"/>
    </row>
    <row r="44" ht="21.75" customHeight="1" spans="1:10">
      <c r="A44" s="411" t="s">
        <v>67</v>
      </c>
      <c r="B44" s="396" t="s">
        <v>36</v>
      </c>
      <c r="C44" s="397" t="s">
        <v>37</v>
      </c>
      <c r="D44" s="381"/>
      <c r="E44" s="375"/>
      <c r="F44" s="399"/>
      <c r="G44" s="382"/>
      <c r="H44" s="375"/>
      <c r="I44" s="375"/>
      <c r="J44" s="422"/>
    </row>
    <row r="45" ht="21.75" customHeight="1" spans="1:10">
      <c r="A45" s="414" t="s">
        <v>67</v>
      </c>
      <c r="B45" s="402" t="s">
        <v>68</v>
      </c>
      <c r="C45" s="403" t="s">
        <v>46</v>
      </c>
      <c r="D45" s="378">
        <v>25</v>
      </c>
      <c r="E45" s="389"/>
      <c r="F45" s="404"/>
      <c r="G45" s="388"/>
      <c r="H45" s="389"/>
      <c r="I45" s="389"/>
      <c r="J45" s="423"/>
    </row>
    <row r="46" ht="25.5" customHeight="1" spans="1:10">
      <c r="A46" s="395" t="s">
        <v>69</v>
      </c>
      <c r="B46" s="391" t="s">
        <v>24</v>
      </c>
      <c r="C46" s="392" t="s">
        <v>25</v>
      </c>
      <c r="D46" s="365">
        <v>1850</v>
      </c>
      <c r="E46" s="391" t="s">
        <v>26</v>
      </c>
      <c r="F46" s="392" t="s">
        <v>12</v>
      </c>
      <c r="G46" s="394">
        <v>2500</v>
      </c>
      <c r="H46" s="368"/>
      <c r="I46" s="368"/>
      <c r="J46" s="421"/>
    </row>
    <row r="47" ht="19.5" customHeight="1" spans="1:10">
      <c r="A47" s="395" t="s">
        <v>69</v>
      </c>
      <c r="B47" s="396" t="s">
        <v>28</v>
      </c>
      <c r="C47" s="397" t="s">
        <v>10</v>
      </c>
      <c r="D47" s="378">
        <v>15000</v>
      </c>
      <c r="E47" s="396" t="s">
        <v>29</v>
      </c>
      <c r="F47" s="397" t="s">
        <v>12</v>
      </c>
      <c r="G47" s="367">
        <v>2000</v>
      </c>
      <c r="H47" s="375"/>
      <c r="I47" s="375"/>
      <c r="J47" s="422"/>
    </row>
    <row r="48" ht="24" customHeight="1" spans="1:10">
      <c r="A48" s="401" t="s">
        <v>69</v>
      </c>
      <c r="B48" s="402" t="s">
        <v>70</v>
      </c>
      <c r="C48" s="403" t="s">
        <v>44</v>
      </c>
      <c r="D48" s="378"/>
      <c r="E48" s="389"/>
      <c r="F48" s="404"/>
      <c r="G48" s="388"/>
      <c r="H48" s="389"/>
      <c r="I48" s="389"/>
      <c r="J48" s="423"/>
    </row>
    <row r="49" ht="22.5" customHeight="1" spans="1:10">
      <c r="A49" s="390" t="s">
        <v>71</v>
      </c>
      <c r="B49" s="391" t="s">
        <v>72</v>
      </c>
      <c r="C49" s="416" t="s">
        <v>73</v>
      </c>
      <c r="D49" s="365"/>
      <c r="E49" s="391" t="s">
        <v>74</v>
      </c>
      <c r="F49" s="392" t="s">
        <v>12</v>
      </c>
      <c r="G49" s="394">
        <f>$G$6</f>
        <v>2500</v>
      </c>
      <c r="H49" s="368"/>
      <c r="I49" s="368"/>
      <c r="J49" s="421"/>
    </row>
    <row r="50" ht="22.5" customHeight="1" spans="1:10">
      <c r="A50" s="395" t="s">
        <v>71</v>
      </c>
      <c r="B50" s="396" t="s">
        <v>75</v>
      </c>
      <c r="C50" s="416" t="s">
        <v>73</v>
      </c>
      <c r="D50" s="378"/>
      <c r="E50" s="396" t="s">
        <v>76</v>
      </c>
      <c r="F50" s="397" t="s">
        <v>12</v>
      </c>
      <c r="G50" s="394">
        <f>$G$6</f>
        <v>2500</v>
      </c>
      <c r="H50" s="375"/>
      <c r="I50" s="375"/>
      <c r="J50" s="422"/>
    </row>
    <row r="51" ht="22.5" customHeight="1" spans="1:10">
      <c r="A51" s="395" t="s">
        <v>71</v>
      </c>
      <c r="B51" s="396" t="s">
        <v>77</v>
      </c>
      <c r="C51" s="416" t="s">
        <v>78</v>
      </c>
      <c r="D51" s="381"/>
      <c r="E51" s="396" t="s">
        <v>49</v>
      </c>
      <c r="F51" s="399" t="s">
        <v>12</v>
      </c>
      <c r="G51" s="394">
        <f>$G$6</f>
        <v>2500</v>
      </c>
      <c r="H51" s="375"/>
      <c r="I51" s="375"/>
      <c r="J51" s="422"/>
    </row>
    <row r="52" ht="22.5" customHeight="1" spans="1:10">
      <c r="A52" s="395" t="s">
        <v>71</v>
      </c>
      <c r="B52" s="375" t="s">
        <v>79</v>
      </c>
      <c r="C52" s="416" t="s">
        <v>46</v>
      </c>
      <c r="D52" s="378"/>
      <c r="E52" s="396" t="s">
        <v>51</v>
      </c>
      <c r="F52" s="399" t="s">
        <v>12</v>
      </c>
      <c r="G52" s="367">
        <f>$G$8</f>
        <v>2000</v>
      </c>
      <c r="H52" s="375"/>
      <c r="I52" s="375"/>
      <c r="J52" s="422"/>
    </row>
    <row r="53" ht="22.5" customHeight="1" spans="1:10">
      <c r="A53" s="395" t="s">
        <v>71</v>
      </c>
      <c r="B53" s="396" t="s">
        <v>80</v>
      </c>
      <c r="C53" s="416" t="s">
        <v>73</v>
      </c>
      <c r="D53" s="381"/>
      <c r="E53" s="375"/>
      <c r="F53" s="399"/>
      <c r="G53" s="382"/>
      <c r="H53" s="375"/>
      <c r="I53" s="375"/>
      <c r="J53" s="422"/>
    </row>
    <row r="54" ht="22.5" customHeight="1" spans="1:10">
      <c r="A54" s="395" t="s">
        <v>71</v>
      </c>
      <c r="B54" s="396" t="s">
        <v>81</v>
      </c>
      <c r="C54" s="416" t="s">
        <v>78</v>
      </c>
      <c r="D54" s="378"/>
      <c r="E54" s="375"/>
      <c r="F54" s="399"/>
      <c r="G54" s="382"/>
      <c r="H54" s="375"/>
      <c r="I54" s="375"/>
      <c r="J54" s="422"/>
    </row>
    <row r="55" ht="22.5" customHeight="1" spans="1:10">
      <c r="A55" s="395" t="s">
        <v>71</v>
      </c>
      <c r="B55" s="396" t="s">
        <v>82</v>
      </c>
      <c r="C55" s="416" t="s">
        <v>46</v>
      </c>
      <c r="D55" s="378"/>
      <c r="E55" s="375"/>
      <c r="F55" s="399"/>
      <c r="G55" s="382"/>
      <c r="H55" s="375"/>
      <c r="I55" s="375"/>
      <c r="J55" s="422"/>
    </row>
    <row r="56" ht="22.5" customHeight="1" spans="1:10">
      <c r="A56" s="395" t="s">
        <v>71</v>
      </c>
      <c r="B56" s="396" t="s">
        <v>83</v>
      </c>
      <c r="C56" s="416" t="s">
        <v>46</v>
      </c>
      <c r="D56" s="365"/>
      <c r="E56" s="375"/>
      <c r="F56" s="399"/>
      <c r="G56" s="382"/>
      <c r="H56" s="375"/>
      <c r="I56" s="375"/>
      <c r="J56" s="422"/>
    </row>
    <row r="57" ht="22.5" customHeight="1" spans="1:10">
      <c r="A57" s="395" t="s">
        <v>71</v>
      </c>
      <c r="B57" s="396" t="s">
        <v>84</v>
      </c>
      <c r="C57" s="416" t="s">
        <v>85</v>
      </c>
      <c r="D57" s="378"/>
      <c r="E57" s="375"/>
      <c r="F57" s="399"/>
      <c r="G57" s="382"/>
      <c r="H57" s="375"/>
      <c r="I57" s="375"/>
      <c r="J57" s="422"/>
    </row>
    <row r="58" ht="22.5" customHeight="1" spans="1:10">
      <c r="A58" s="395" t="s">
        <v>71</v>
      </c>
      <c r="B58" s="396" t="s">
        <v>86</v>
      </c>
      <c r="C58" s="416" t="s">
        <v>85</v>
      </c>
      <c r="D58" s="381"/>
      <c r="E58" s="375"/>
      <c r="F58" s="399"/>
      <c r="G58" s="382"/>
      <c r="H58" s="375"/>
      <c r="I58" s="375"/>
      <c r="J58" s="422"/>
    </row>
    <row r="59" ht="22.5" customHeight="1" spans="1:10">
      <c r="A59" s="395" t="s">
        <v>71</v>
      </c>
      <c r="B59" s="396" t="s">
        <v>87</v>
      </c>
      <c r="C59" s="416" t="s">
        <v>88</v>
      </c>
      <c r="D59" s="378"/>
      <c r="E59" s="375"/>
      <c r="F59" s="399"/>
      <c r="G59" s="382"/>
      <c r="H59" s="375"/>
      <c r="I59" s="375"/>
      <c r="J59" s="422"/>
    </row>
    <row r="60" ht="22.5" customHeight="1" spans="1:10">
      <c r="A60" s="395" t="s">
        <v>71</v>
      </c>
      <c r="B60" s="396" t="s">
        <v>89</v>
      </c>
      <c r="C60" s="416" t="s">
        <v>88</v>
      </c>
      <c r="D60" s="381"/>
      <c r="E60" s="375"/>
      <c r="F60" s="399"/>
      <c r="G60" s="382"/>
      <c r="H60" s="375"/>
      <c r="I60" s="375"/>
      <c r="J60" s="422"/>
    </row>
    <row r="61" ht="22.5" customHeight="1" spans="1:10">
      <c r="A61" s="395" t="s">
        <v>71</v>
      </c>
      <c r="B61" s="396" t="s">
        <v>90</v>
      </c>
      <c r="C61" s="416" t="s">
        <v>46</v>
      </c>
      <c r="D61" s="378">
        <v>7</v>
      </c>
      <c r="E61" s="375"/>
      <c r="F61" s="399"/>
      <c r="G61" s="382"/>
      <c r="H61" s="375"/>
      <c r="I61" s="375"/>
      <c r="J61" s="422"/>
    </row>
    <row r="62" ht="22.5" customHeight="1" spans="1:10">
      <c r="A62" s="395" t="s">
        <v>71</v>
      </c>
      <c r="B62" s="396" t="s">
        <v>91</v>
      </c>
      <c r="C62" s="416" t="s">
        <v>46</v>
      </c>
      <c r="D62" s="378"/>
      <c r="E62" s="375"/>
      <c r="F62" s="399"/>
      <c r="G62" s="382"/>
      <c r="H62" s="375"/>
      <c r="I62" s="375"/>
      <c r="J62" s="422"/>
    </row>
    <row r="63" ht="22.5" customHeight="1" spans="1:10">
      <c r="A63" s="395" t="s">
        <v>71</v>
      </c>
      <c r="B63" s="396" t="s">
        <v>92</v>
      </c>
      <c r="C63" s="416" t="s">
        <v>46</v>
      </c>
      <c r="D63" s="365">
        <v>500</v>
      </c>
      <c r="E63" s="375"/>
      <c r="F63" s="399"/>
      <c r="G63" s="382"/>
      <c r="H63" s="375"/>
      <c r="I63" s="375"/>
      <c r="J63" s="422"/>
    </row>
    <row r="64" ht="22.5" customHeight="1" spans="1:10">
      <c r="A64" s="395" t="s">
        <v>71</v>
      </c>
      <c r="B64" s="396" t="s">
        <v>93</v>
      </c>
      <c r="C64" s="416" t="s">
        <v>46</v>
      </c>
      <c r="D64" s="378">
        <v>940</v>
      </c>
      <c r="E64" s="375"/>
      <c r="F64" s="399"/>
      <c r="G64" s="382"/>
      <c r="H64" s="375"/>
      <c r="I64" s="375"/>
      <c r="J64" s="422"/>
    </row>
    <row r="65" ht="22.5" customHeight="1" spans="1:10">
      <c r="A65" s="395" t="s">
        <v>71</v>
      </c>
      <c r="B65" s="396" t="s">
        <v>94</v>
      </c>
      <c r="C65" s="416" t="s">
        <v>46</v>
      </c>
      <c r="D65" s="381"/>
      <c r="E65" s="375"/>
      <c r="F65" s="399"/>
      <c r="G65" s="382"/>
      <c r="H65" s="375"/>
      <c r="I65" s="375"/>
      <c r="J65" s="422"/>
    </row>
    <row r="66" ht="22.5" customHeight="1" spans="1:10">
      <c r="A66" s="395" t="s">
        <v>71</v>
      </c>
      <c r="B66" s="396" t="s">
        <v>95</v>
      </c>
      <c r="C66" s="416" t="s">
        <v>46</v>
      </c>
      <c r="D66" s="378"/>
      <c r="E66" s="375"/>
      <c r="F66" s="399"/>
      <c r="G66" s="382"/>
      <c r="H66" s="375"/>
      <c r="I66" s="375"/>
      <c r="J66" s="422"/>
    </row>
    <row r="67" ht="22.5" customHeight="1" spans="1:10">
      <c r="A67" s="395" t="s">
        <v>71</v>
      </c>
      <c r="B67" s="396" t="s">
        <v>96</v>
      </c>
      <c r="C67" s="416" t="s">
        <v>46</v>
      </c>
      <c r="D67" s="381"/>
      <c r="E67" s="375"/>
      <c r="F67" s="399"/>
      <c r="G67" s="382"/>
      <c r="H67" s="375"/>
      <c r="I67" s="375"/>
      <c r="J67" s="422"/>
    </row>
    <row r="68" ht="22.5" customHeight="1" spans="1:10">
      <c r="A68" s="401" t="s">
        <v>71</v>
      </c>
      <c r="B68" s="402" t="s">
        <v>97</v>
      </c>
      <c r="C68" s="426" t="s">
        <v>46</v>
      </c>
      <c r="D68" s="378"/>
      <c r="E68" s="389"/>
      <c r="F68" s="404"/>
      <c r="G68" s="388"/>
      <c r="H68" s="389"/>
      <c r="I68" s="389"/>
      <c r="J68" s="423"/>
    </row>
    <row r="69" ht="19.5" customHeight="1" spans="1:10">
      <c r="A69" s="390" t="s">
        <v>98</v>
      </c>
      <c r="B69" s="368" t="s">
        <v>99</v>
      </c>
      <c r="C69" s="416" t="s">
        <v>78</v>
      </c>
      <c r="D69" s="378"/>
      <c r="E69" s="391" t="s">
        <v>26</v>
      </c>
      <c r="F69" s="392" t="s">
        <v>12</v>
      </c>
      <c r="G69" s="394">
        <f>$G$6</f>
        <v>2500</v>
      </c>
      <c r="H69" s="368"/>
      <c r="I69" s="368"/>
      <c r="J69" s="421"/>
    </row>
    <row r="70" ht="19.5" customHeight="1" spans="1:10">
      <c r="A70" s="395" t="s">
        <v>98</v>
      </c>
      <c r="B70" s="375" t="s">
        <v>100</v>
      </c>
      <c r="C70" s="416" t="s">
        <v>78</v>
      </c>
      <c r="D70" s="378"/>
      <c r="E70" s="396" t="s">
        <v>29</v>
      </c>
      <c r="F70" s="397" t="s">
        <v>12</v>
      </c>
      <c r="G70" s="367">
        <f>$G$8</f>
        <v>2000</v>
      </c>
      <c r="H70" s="375"/>
      <c r="I70" s="375"/>
      <c r="J70" s="422"/>
    </row>
    <row r="71" ht="19.5" customHeight="1" spans="1:10">
      <c r="A71" s="395" t="s">
        <v>98</v>
      </c>
      <c r="B71" s="396" t="s">
        <v>101</v>
      </c>
      <c r="C71" s="416" t="s">
        <v>102</v>
      </c>
      <c r="D71" s="378"/>
      <c r="E71" s="375"/>
      <c r="F71" s="399"/>
      <c r="G71" s="382"/>
      <c r="H71" s="375"/>
      <c r="I71" s="375"/>
      <c r="J71" s="422"/>
    </row>
    <row r="72" ht="19.5" customHeight="1" spans="1:10">
      <c r="A72" s="395" t="s">
        <v>98</v>
      </c>
      <c r="B72" s="396" t="s">
        <v>103</v>
      </c>
      <c r="C72" s="416" t="s">
        <v>46</v>
      </c>
      <c r="D72" s="378"/>
      <c r="E72" s="375"/>
      <c r="F72" s="399"/>
      <c r="G72" s="382"/>
      <c r="H72" s="375"/>
      <c r="I72" s="375"/>
      <c r="J72" s="422"/>
    </row>
    <row r="73" ht="19.5" customHeight="1" spans="1:10">
      <c r="A73" s="395" t="s">
        <v>98</v>
      </c>
      <c r="B73" s="375" t="s">
        <v>104</v>
      </c>
      <c r="C73" s="416" t="s">
        <v>46</v>
      </c>
      <c r="D73" s="378"/>
      <c r="E73" s="375"/>
      <c r="F73" s="399"/>
      <c r="G73" s="382"/>
      <c r="H73" s="375"/>
      <c r="I73" s="375"/>
      <c r="J73" s="422"/>
    </row>
    <row r="74" ht="19.5" customHeight="1" spans="1:10">
      <c r="A74" s="395" t="s">
        <v>98</v>
      </c>
      <c r="B74" s="396" t="s">
        <v>105</v>
      </c>
      <c r="C74" s="416" t="s">
        <v>46</v>
      </c>
      <c r="D74" s="378"/>
      <c r="E74" s="375"/>
      <c r="F74" s="399"/>
      <c r="G74" s="382"/>
      <c r="H74" s="375"/>
      <c r="I74" s="375"/>
      <c r="J74" s="422"/>
    </row>
    <row r="75" ht="19.5" customHeight="1" spans="1:10">
      <c r="A75" s="395" t="s">
        <v>98</v>
      </c>
      <c r="B75" s="375" t="s">
        <v>106</v>
      </c>
      <c r="C75" s="416" t="s">
        <v>78</v>
      </c>
      <c r="D75" s="378"/>
      <c r="E75" s="375"/>
      <c r="F75" s="399"/>
      <c r="G75" s="382"/>
      <c r="H75" s="375"/>
      <c r="I75" s="375"/>
      <c r="J75" s="422"/>
    </row>
    <row r="76" ht="19.5" customHeight="1" spans="1:10">
      <c r="A76" s="395" t="s">
        <v>98</v>
      </c>
      <c r="B76" s="396" t="s">
        <v>107</v>
      </c>
      <c r="C76" s="416" t="s">
        <v>108</v>
      </c>
      <c r="D76" s="378"/>
      <c r="E76" s="375"/>
      <c r="F76" s="399"/>
      <c r="G76" s="382"/>
      <c r="H76" s="375"/>
      <c r="I76" s="375"/>
      <c r="J76" s="422"/>
    </row>
    <row r="77" ht="19.5" customHeight="1" spans="1:10">
      <c r="A77" s="395" t="s">
        <v>98</v>
      </c>
      <c r="B77" s="396" t="s">
        <v>21</v>
      </c>
      <c r="C77" s="416" t="s">
        <v>22</v>
      </c>
      <c r="D77" s="378"/>
      <c r="E77" s="375"/>
      <c r="F77" s="399"/>
      <c r="G77" s="382"/>
      <c r="H77" s="375"/>
      <c r="I77" s="375"/>
      <c r="J77" s="422"/>
    </row>
    <row r="78" ht="19.5" customHeight="1" spans="1:10">
      <c r="A78" s="395" t="s">
        <v>98</v>
      </c>
      <c r="B78" s="396" t="s">
        <v>109</v>
      </c>
      <c r="C78" s="416" t="s">
        <v>22</v>
      </c>
      <c r="D78" s="378"/>
      <c r="E78" s="375"/>
      <c r="F78" s="399"/>
      <c r="G78" s="382"/>
      <c r="H78" s="375"/>
      <c r="I78" s="375"/>
      <c r="J78" s="422"/>
    </row>
    <row r="79" ht="19.5" customHeight="1" spans="1:10">
      <c r="A79" s="395" t="s">
        <v>98</v>
      </c>
      <c r="B79" s="396" t="s">
        <v>24</v>
      </c>
      <c r="C79" s="416" t="s">
        <v>25</v>
      </c>
      <c r="D79" s="378"/>
      <c r="E79" s="375"/>
      <c r="F79" s="399"/>
      <c r="G79" s="382"/>
      <c r="H79" s="375"/>
      <c r="I79" s="375"/>
      <c r="J79" s="422"/>
    </row>
    <row r="80" ht="19.5" customHeight="1" spans="1:10">
      <c r="A80" s="395" t="s">
        <v>98</v>
      </c>
      <c r="B80" s="396" t="s">
        <v>28</v>
      </c>
      <c r="C80" s="416" t="s">
        <v>110</v>
      </c>
      <c r="D80" s="378"/>
      <c r="E80" s="375"/>
      <c r="F80" s="399"/>
      <c r="G80" s="382"/>
      <c r="H80" s="375"/>
      <c r="I80" s="375"/>
      <c r="J80" s="422"/>
    </row>
    <row r="81" ht="19.5" customHeight="1" spans="1:10">
      <c r="A81" s="395" t="s">
        <v>98</v>
      </c>
      <c r="B81" s="396" t="s">
        <v>111</v>
      </c>
      <c r="C81" s="416" t="s">
        <v>22</v>
      </c>
      <c r="D81" s="367"/>
      <c r="E81" s="375"/>
      <c r="F81" s="399"/>
      <c r="G81" s="382"/>
      <c r="H81" s="375"/>
      <c r="I81" s="375"/>
      <c r="J81" s="422"/>
    </row>
    <row r="82" ht="19.5" customHeight="1" spans="1:10">
      <c r="A82" s="395" t="s">
        <v>98</v>
      </c>
      <c r="B82" s="396" t="s">
        <v>112</v>
      </c>
      <c r="C82" s="416" t="s">
        <v>46</v>
      </c>
      <c r="D82" s="367"/>
      <c r="E82" s="375"/>
      <c r="F82" s="399"/>
      <c r="G82" s="382"/>
      <c r="H82" s="375"/>
      <c r="I82" s="375"/>
      <c r="J82" s="422"/>
    </row>
    <row r="83" ht="19.5" customHeight="1" spans="1:10">
      <c r="A83" s="395" t="s">
        <v>98</v>
      </c>
      <c r="B83" s="396" t="s">
        <v>84</v>
      </c>
      <c r="C83" s="416" t="s">
        <v>44</v>
      </c>
      <c r="D83" s="367"/>
      <c r="E83" s="375"/>
      <c r="F83" s="399"/>
      <c r="G83" s="382"/>
      <c r="H83" s="375"/>
      <c r="I83" s="375"/>
      <c r="J83" s="422"/>
    </row>
    <row r="84" ht="19.5" customHeight="1" spans="1:10">
      <c r="A84" s="395" t="s">
        <v>98</v>
      </c>
      <c r="B84" s="396" t="s">
        <v>86</v>
      </c>
      <c r="C84" s="416" t="s">
        <v>44</v>
      </c>
      <c r="D84" s="367"/>
      <c r="E84" s="375"/>
      <c r="F84" s="399"/>
      <c r="G84" s="382"/>
      <c r="H84" s="375"/>
      <c r="I84" s="375"/>
      <c r="J84" s="422"/>
    </row>
    <row r="85" ht="19.5" customHeight="1" spans="1:10">
      <c r="A85" s="395" t="s">
        <v>98</v>
      </c>
      <c r="B85" s="396" t="s">
        <v>113</v>
      </c>
      <c r="C85" s="416" t="s">
        <v>44</v>
      </c>
      <c r="D85" s="367"/>
      <c r="E85" s="375"/>
      <c r="F85" s="399"/>
      <c r="G85" s="382"/>
      <c r="H85" s="375"/>
      <c r="I85" s="375"/>
      <c r="J85" s="422"/>
    </row>
    <row r="86" ht="19.5" customHeight="1" spans="1:10">
      <c r="A86" s="395" t="s">
        <v>98</v>
      </c>
      <c r="B86" s="375" t="s">
        <v>114</v>
      </c>
      <c r="C86" s="416" t="s">
        <v>115</v>
      </c>
      <c r="D86" s="367"/>
      <c r="E86" s="375"/>
      <c r="F86" s="399"/>
      <c r="G86" s="382"/>
      <c r="H86" s="375"/>
      <c r="I86" s="375"/>
      <c r="J86" s="422"/>
    </row>
    <row r="87" ht="19.5" customHeight="1" spans="1:10">
      <c r="A87" s="395" t="s">
        <v>98</v>
      </c>
      <c r="B87" s="375" t="s">
        <v>116</v>
      </c>
      <c r="C87" s="416" t="s">
        <v>117</v>
      </c>
      <c r="D87" s="367"/>
      <c r="E87" s="375"/>
      <c r="F87" s="399"/>
      <c r="G87" s="382"/>
      <c r="H87" s="375"/>
      <c r="I87" s="375"/>
      <c r="J87" s="422"/>
    </row>
    <row r="88" ht="19.5" customHeight="1" spans="1:10">
      <c r="A88" s="395" t="s">
        <v>98</v>
      </c>
      <c r="B88" s="396" t="s">
        <v>118</v>
      </c>
      <c r="C88" s="416" t="s">
        <v>46</v>
      </c>
      <c r="D88" s="367"/>
      <c r="E88" s="375"/>
      <c r="F88" s="399"/>
      <c r="G88" s="382"/>
      <c r="H88" s="375"/>
      <c r="I88" s="375"/>
      <c r="J88" s="422"/>
    </row>
    <row r="89" ht="19.5" customHeight="1" spans="1:10">
      <c r="A89" s="395" t="s">
        <v>98</v>
      </c>
      <c r="B89" s="402" t="s">
        <v>119</v>
      </c>
      <c r="C89" s="416" t="s">
        <v>46</v>
      </c>
      <c r="D89" s="367"/>
      <c r="E89" s="389"/>
      <c r="F89" s="404"/>
      <c r="G89" s="388"/>
      <c r="H89" s="389"/>
      <c r="I89" s="389"/>
      <c r="J89" s="423"/>
    </row>
    <row r="90" s="347" customFormat="1" ht="21.75" customHeight="1" spans="1:10">
      <c r="A90" s="390" t="s">
        <v>120</v>
      </c>
      <c r="B90" s="391" t="s">
        <v>111</v>
      </c>
      <c r="C90" s="427" t="s">
        <v>22</v>
      </c>
      <c r="D90" s="428"/>
      <c r="E90" s="391" t="s">
        <v>26</v>
      </c>
      <c r="F90" s="392" t="s">
        <v>121</v>
      </c>
      <c r="G90" s="394">
        <f>$G$6</f>
        <v>2500</v>
      </c>
      <c r="H90" s="391"/>
      <c r="I90" s="433"/>
      <c r="J90" s="438"/>
    </row>
    <row r="91" s="347" customFormat="1" ht="21.75" customHeight="1" spans="1:10">
      <c r="A91" s="395" t="s">
        <v>120</v>
      </c>
      <c r="B91" s="396" t="s">
        <v>24</v>
      </c>
      <c r="C91" s="397" t="s">
        <v>10</v>
      </c>
      <c r="D91" s="428">
        <v>1850</v>
      </c>
      <c r="E91" s="396" t="s">
        <v>29</v>
      </c>
      <c r="F91" s="397" t="s">
        <v>121</v>
      </c>
      <c r="G91" s="367">
        <f>$G$8</f>
        <v>2000</v>
      </c>
      <c r="H91" s="396"/>
      <c r="I91" s="396"/>
      <c r="J91" s="439"/>
    </row>
    <row r="92" s="347" customFormat="1" ht="21.75" customHeight="1" spans="1:10">
      <c r="A92" s="395" t="s">
        <v>120</v>
      </c>
      <c r="B92" s="396" t="s">
        <v>28</v>
      </c>
      <c r="C92" s="397" t="s">
        <v>10</v>
      </c>
      <c r="D92" s="428">
        <v>15000</v>
      </c>
      <c r="E92" s="396"/>
      <c r="F92" s="397"/>
      <c r="G92" s="429"/>
      <c r="H92" s="396"/>
      <c r="I92" s="396"/>
      <c r="J92" s="439"/>
    </row>
    <row r="93" s="347" customFormat="1" ht="21.75" customHeight="1" spans="1:10">
      <c r="A93" s="395" t="s">
        <v>120</v>
      </c>
      <c r="B93" s="396" t="s">
        <v>63</v>
      </c>
      <c r="C93" s="397" t="s">
        <v>122</v>
      </c>
      <c r="D93" s="428"/>
      <c r="E93" s="396"/>
      <c r="F93" s="397"/>
      <c r="G93" s="429"/>
      <c r="H93" s="396"/>
      <c r="I93" s="396"/>
      <c r="J93" s="439"/>
    </row>
    <row r="94" s="347" customFormat="1" ht="21.75" customHeight="1" spans="1:10">
      <c r="A94" s="395" t="s">
        <v>120</v>
      </c>
      <c r="B94" s="396" t="s">
        <v>68</v>
      </c>
      <c r="C94" s="416" t="s">
        <v>46</v>
      </c>
      <c r="D94" s="428">
        <v>25</v>
      </c>
      <c r="E94" s="396"/>
      <c r="F94" s="397"/>
      <c r="G94" s="429"/>
      <c r="H94" s="396"/>
      <c r="I94" s="396"/>
      <c r="J94" s="439"/>
    </row>
    <row r="95" s="347" customFormat="1" ht="21.75" customHeight="1" spans="1:10">
      <c r="A95" s="395" t="s">
        <v>120</v>
      </c>
      <c r="B95" s="396" t="s">
        <v>123</v>
      </c>
      <c r="C95" s="416" t="s">
        <v>46</v>
      </c>
      <c r="D95" s="428"/>
      <c r="E95" s="396"/>
      <c r="F95" s="430"/>
      <c r="G95" s="429"/>
      <c r="H95" s="396"/>
      <c r="I95" s="396"/>
      <c r="J95" s="439"/>
    </row>
    <row r="96" s="347" customFormat="1" ht="21.75" customHeight="1" spans="1:10">
      <c r="A96" s="395" t="s">
        <v>120</v>
      </c>
      <c r="B96" s="396" t="s">
        <v>124</v>
      </c>
      <c r="C96" s="416" t="s">
        <v>46</v>
      </c>
      <c r="D96" s="428"/>
      <c r="E96" s="396"/>
      <c r="F96" s="430"/>
      <c r="G96" s="429"/>
      <c r="H96" s="429"/>
      <c r="I96" s="396"/>
      <c r="J96" s="439"/>
    </row>
    <row r="97" s="347" customFormat="1" ht="21.75" customHeight="1" spans="1:10">
      <c r="A97" s="395" t="s">
        <v>120</v>
      </c>
      <c r="B97" s="396" t="s">
        <v>125</v>
      </c>
      <c r="C97" s="416" t="s">
        <v>46</v>
      </c>
      <c r="D97" s="428"/>
      <c r="E97" s="396"/>
      <c r="F97" s="430"/>
      <c r="G97" s="429"/>
      <c r="H97" s="429"/>
      <c r="I97" s="396"/>
      <c r="J97" s="439"/>
    </row>
    <row r="98" s="347" customFormat="1" ht="21.75" customHeight="1" spans="1:10">
      <c r="A98" s="401" t="s">
        <v>120</v>
      </c>
      <c r="B98" s="431" t="s">
        <v>126</v>
      </c>
      <c r="C98" s="432" t="s">
        <v>22</v>
      </c>
      <c r="D98" s="428"/>
      <c r="E98" s="402"/>
      <c r="F98" s="432"/>
      <c r="G98" s="431"/>
      <c r="H98" s="431"/>
      <c r="I98" s="402"/>
      <c r="J98" s="440"/>
    </row>
    <row r="99" s="347" customFormat="1" ht="21.75" customHeight="1" spans="1:10">
      <c r="A99" s="390" t="s">
        <v>127</v>
      </c>
      <c r="B99" s="391" t="s">
        <v>24</v>
      </c>
      <c r="C99" s="392" t="s">
        <v>25</v>
      </c>
      <c r="D99" s="428">
        <v>1850</v>
      </c>
      <c r="E99" s="391" t="s">
        <v>26</v>
      </c>
      <c r="F99" s="392" t="s">
        <v>121</v>
      </c>
      <c r="G99" s="394">
        <f>$G$6</f>
        <v>2500</v>
      </c>
      <c r="H99" s="433"/>
      <c r="I99" s="391"/>
      <c r="J99" s="438"/>
    </row>
    <row r="100" s="347" customFormat="1" ht="21.75" customHeight="1" spans="1:10">
      <c r="A100" s="395" t="s">
        <v>127</v>
      </c>
      <c r="B100" s="396" t="s">
        <v>28</v>
      </c>
      <c r="C100" s="397" t="s">
        <v>110</v>
      </c>
      <c r="D100" s="428">
        <v>15000</v>
      </c>
      <c r="E100" s="396" t="s">
        <v>29</v>
      </c>
      <c r="F100" s="397" t="s">
        <v>121</v>
      </c>
      <c r="G100" s="367">
        <f>$G$8</f>
        <v>2000</v>
      </c>
      <c r="H100" s="429"/>
      <c r="I100" s="396"/>
      <c r="J100" s="439"/>
    </row>
    <row r="101" s="347" customFormat="1" ht="21.75" customHeight="1" spans="1:10">
      <c r="A101" s="395" t="s">
        <v>127</v>
      </c>
      <c r="B101" s="396" t="s">
        <v>111</v>
      </c>
      <c r="C101" s="397" t="s">
        <v>22</v>
      </c>
      <c r="D101" s="428"/>
      <c r="E101" s="396"/>
      <c r="F101" s="397"/>
      <c r="G101" s="429"/>
      <c r="H101" s="429"/>
      <c r="I101" s="396"/>
      <c r="J101" s="439"/>
    </row>
    <row r="102" s="347" customFormat="1" ht="21.75" customHeight="1" spans="1:10">
      <c r="A102" s="395" t="s">
        <v>127</v>
      </c>
      <c r="B102" s="396" t="s">
        <v>63</v>
      </c>
      <c r="C102" s="397" t="s">
        <v>128</v>
      </c>
      <c r="D102" s="428"/>
      <c r="E102" s="396"/>
      <c r="F102" s="430"/>
      <c r="G102" s="429"/>
      <c r="H102" s="429"/>
      <c r="I102" s="396"/>
      <c r="J102" s="439"/>
    </row>
    <row r="103" s="347" customFormat="1" ht="21.75" customHeight="1" spans="1:10">
      <c r="A103" s="395" t="s">
        <v>127</v>
      </c>
      <c r="B103" s="396" t="s">
        <v>129</v>
      </c>
      <c r="C103" s="416" t="s">
        <v>46</v>
      </c>
      <c r="D103" s="428"/>
      <c r="E103" s="396"/>
      <c r="F103" s="430"/>
      <c r="G103" s="429"/>
      <c r="H103" s="429"/>
      <c r="I103" s="396"/>
      <c r="J103" s="439"/>
    </row>
    <row r="104" s="347" customFormat="1" ht="21.75" customHeight="1" spans="1:10">
      <c r="A104" s="395" t="s">
        <v>127</v>
      </c>
      <c r="B104" s="396" t="s">
        <v>130</v>
      </c>
      <c r="C104" s="416" t="s">
        <v>46</v>
      </c>
      <c r="D104" s="428"/>
      <c r="E104" s="396"/>
      <c r="F104" s="430"/>
      <c r="G104" s="429"/>
      <c r="H104" s="429"/>
      <c r="I104" s="396"/>
      <c r="J104" s="439"/>
    </row>
    <row r="105" s="347" customFormat="1" ht="21.75" customHeight="1" spans="1:10">
      <c r="A105" s="395" t="s">
        <v>127</v>
      </c>
      <c r="B105" s="396" t="s">
        <v>131</v>
      </c>
      <c r="C105" s="416" t="s">
        <v>46</v>
      </c>
      <c r="D105" s="428"/>
      <c r="E105" s="396"/>
      <c r="F105" s="430"/>
      <c r="G105" s="429"/>
      <c r="H105" s="429"/>
      <c r="I105" s="396"/>
      <c r="J105" s="439"/>
    </row>
    <row r="106" s="347" customFormat="1" ht="21.75" customHeight="1" spans="1:10">
      <c r="A106" s="401" t="s">
        <v>127</v>
      </c>
      <c r="B106" s="431" t="s">
        <v>126</v>
      </c>
      <c r="C106" s="432" t="s">
        <v>22</v>
      </c>
      <c r="D106" s="428"/>
      <c r="E106" s="402"/>
      <c r="F106" s="432"/>
      <c r="G106" s="431"/>
      <c r="H106" s="431"/>
      <c r="I106" s="431"/>
      <c r="J106" s="440"/>
    </row>
    <row r="107" ht="21.75" customHeight="1" spans="1:10">
      <c r="A107" s="390" t="s">
        <v>132</v>
      </c>
      <c r="B107" s="391" t="s">
        <v>24</v>
      </c>
      <c r="C107" s="434" t="s">
        <v>25</v>
      </c>
      <c r="D107" s="367">
        <v>2750</v>
      </c>
      <c r="E107" s="391" t="s">
        <v>26</v>
      </c>
      <c r="F107" s="392" t="s">
        <v>121</v>
      </c>
      <c r="G107" s="394">
        <v>3000</v>
      </c>
      <c r="H107" s="368"/>
      <c r="I107" s="368"/>
      <c r="J107" s="421"/>
    </row>
    <row r="108" ht="21.75" customHeight="1" spans="1:10">
      <c r="A108" s="395" t="s">
        <v>132</v>
      </c>
      <c r="B108" s="396" t="s">
        <v>28</v>
      </c>
      <c r="C108" s="399" t="s">
        <v>110</v>
      </c>
      <c r="D108" s="367">
        <v>20000</v>
      </c>
      <c r="E108" s="396" t="s">
        <v>29</v>
      </c>
      <c r="F108" s="397" t="s">
        <v>121</v>
      </c>
      <c r="G108" s="367">
        <f>$G$8</f>
        <v>2000</v>
      </c>
      <c r="H108" s="375"/>
      <c r="I108" s="375"/>
      <c r="J108" s="422"/>
    </row>
    <row r="109" ht="21.75" customHeight="1" spans="1:10">
      <c r="A109" s="395" t="s">
        <v>132</v>
      </c>
      <c r="B109" s="396" t="s">
        <v>111</v>
      </c>
      <c r="C109" s="399" t="s">
        <v>22</v>
      </c>
      <c r="D109" s="367"/>
      <c r="E109" s="375"/>
      <c r="F109" s="399"/>
      <c r="G109" s="382"/>
      <c r="H109" s="375"/>
      <c r="I109" s="375"/>
      <c r="J109" s="422"/>
    </row>
    <row r="110" ht="21.75" customHeight="1" spans="1:10">
      <c r="A110" s="395" t="s">
        <v>132</v>
      </c>
      <c r="B110" s="396" t="s">
        <v>63</v>
      </c>
      <c r="C110" s="399" t="s">
        <v>128</v>
      </c>
      <c r="D110" s="367"/>
      <c r="E110" s="375"/>
      <c r="F110" s="399"/>
      <c r="G110" s="382"/>
      <c r="H110" s="375"/>
      <c r="I110" s="375"/>
      <c r="J110" s="422"/>
    </row>
    <row r="111" ht="21.75" customHeight="1" spans="1:10">
      <c r="A111" s="395" t="s">
        <v>132</v>
      </c>
      <c r="B111" s="375" t="s">
        <v>133</v>
      </c>
      <c r="C111" s="416" t="s">
        <v>108</v>
      </c>
      <c r="D111" s="367"/>
      <c r="E111" s="375"/>
      <c r="F111" s="399"/>
      <c r="G111" s="382"/>
      <c r="H111" s="375"/>
      <c r="I111" s="375"/>
      <c r="J111" s="422"/>
    </row>
    <row r="112" ht="21.75" customHeight="1" spans="1:10">
      <c r="A112" s="395" t="s">
        <v>132</v>
      </c>
      <c r="B112" s="375" t="s">
        <v>134</v>
      </c>
      <c r="C112" s="416" t="s">
        <v>108</v>
      </c>
      <c r="D112" s="367"/>
      <c r="E112" s="375"/>
      <c r="F112" s="399"/>
      <c r="G112" s="382"/>
      <c r="H112" s="375"/>
      <c r="I112" s="375"/>
      <c r="J112" s="422"/>
    </row>
    <row r="113" ht="21.75" customHeight="1" spans="1:10">
      <c r="A113" s="395" t="s">
        <v>132</v>
      </c>
      <c r="B113" s="375" t="s">
        <v>135</v>
      </c>
      <c r="C113" s="416" t="s">
        <v>108</v>
      </c>
      <c r="D113" s="367"/>
      <c r="E113" s="375"/>
      <c r="F113" s="399"/>
      <c r="G113" s="382"/>
      <c r="H113" s="375"/>
      <c r="I113" s="375"/>
      <c r="J113" s="422"/>
    </row>
    <row r="114" ht="21.75" customHeight="1" spans="1:10">
      <c r="A114" s="395" t="s">
        <v>132</v>
      </c>
      <c r="B114" s="375" t="s">
        <v>136</v>
      </c>
      <c r="C114" s="416" t="s">
        <v>108</v>
      </c>
      <c r="D114" s="367"/>
      <c r="E114" s="375"/>
      <c r="F114" s="399"/>
      <c r="G114" s="382"/>
      <c r="H114" s="375"/>
      <c r="I114" s="375"/>
      <c r="J114" s="422"/>
    </row>
    <row r="115" ht="21.75" customHeight="1" spans="1:10">
      <c r="A115" s="395" t="s">
        <v>132</v>
      </c>
      <c r="B115" s="375" t="s">
        <v>137</v>
      </c>
      <c r="C115" s="416" t="s">
        <v>108</v>
      </c>
      <c r="D115" s="367"/>
      <c r="E115" s="375"/>
      <c r="F115" s="399"/>
      <c r="G115" s="382"/>
      <c r="H115" s="375"/>
      <c r="I115" s="375"/>
      <c r="J115" s="422"/>
    </row>
    <row r="116" ht="21.75" customHeight="1" spans="1:10">
      <c r="A116" s="395" t="s">
        <v>132</v>
      </c>
      <c r="B116" s="375" t="s">
        <v>138</v>
      </c>
      <c r="C116" s="416" t="s">
        <v>78</v>
      </c>
      <c r="D116" s="367"/>
      <c r="E116" s="375"/>
      <c r="F116" s="399"/>
      <c r="G116" s="382"/>
      <c r="H116" s="375"/>
      <c r="I116" s="375"/>
      <c r="J116" s="422"/>
    </row>
    <row r="117" ht="21.75" customHeight="1" spans="1:10">
      <c r="A117" s="395" t="s">
        <v>132</v>
      </c>
      <c r="B117" s="375" t="s">
        <v>139</v>
      </c>
      <c r="C117" s="416" t="s">
        <v>78</v>
      </c>
      <c r="D117" s="367"/>
      <c r="E117" s="375"/>
      <c r="F117" s="399"/>
      <c r="G117" s="382"/>
      <c r="H117" s="375"/>
      <c r="I117" s="375"/>
      <c r="J117" s="422"/>
    </row>
    <row r="118" ht="21.75" customHeight="1" spans="1:10">
      <c r="A118" s="395" t="s">
        <v>132</v>
      </c>
      <c r="B118" s="396" t="s">
        <v>21</v>
      </c>
      <c r="C118" s="399" t="s">
        <v>22</v>
      </c>
      <c r="D118" s="367"/>
      <c r="E118" s="375"/>
      <c r="F118" s="399"/>
      <c r="G118" s="382"/>
      <c r="H118" s="375"/>
      <c r="I118" s="375"/>
      <c r="J118" s="422"/>
    </row>
    <row r="119" ht="21.75" customHeight="1" spans="1:10">
      <c r="A119" s="401" t="s">
        <v>132</v>
      </c>
      <c r="B119" s="389" t="s">
        <v>140</v>
      </c>
      <c r="C119" s="404" t="s">
        <v>44</v>
      </c>
      <c r="D119" s="367"/>
      <c r="E119" s="389"/>
      <c r="F119" s="404"/>
      <c r="G119" s="388"/>
      <c r="H119" s="389"/>
      <c r="I119" s="389"/>
      <c r="J119" s="423"/>
    </row>
    <row r="120" ht="21.75" customHeight="1" spans="1:10">
      <c r="A120" s="390" t="s">
        <v>141</v>
      </c>
      <c r="B120" s="391" t="s">
        <v>140</v>
      </c>
      <c r="C120" s="434" t="s">
        <v>44</v>
      </c>
      <c r="D120" s="367">
        <v>894</v>
      </c>
      <c r="E120" s="391" t="s">
        <v>26</v>
      </c>
      <c r="F120" s="392" t="s">
        <v>121</v>
      </c>
      <c r="G120" s="394">
        <v>3000</v>
      </c>
      <c r="H120" s="368"/>
      <c r="I120" s="368"/>
      <c r="J120" s="421"/>
    </row>
    <row r="121" ht="21.75" customHeight="1" spans="1:10">
      <c r="A121" s="395" t="s">
        <v>141</v>
      </c>
      <c r="B121" s="396" t="s">
        <v>142</v>
      </c>
      <c r="C121" s="399" t="s">
        <v>44</v>
      </c>
      <c r="D121" s="367">
        <v>1000</v>
      </c>
      <c r="E121" s="396" t="s">
        <v>29</v>
      </c>
      <c r="F121" s="397" t="s">
        <v>121</v>
      </c>
      <c r="G121" s="367">
        <f>$G$8</f>
        <v>2000</v>
      </c>
      <c r="H121" s="375"/>
      <c r="I121" s="375"/>
      <c r="J121" s="422"/>
    </row>
    <row r="122" ht="21.75" customHeight="1" spans="1:10">
      <c r="A122" s="395" t="s">
        <v>141</v>
      </c>
      <c r="B122" s="396" t="s">
        <v>143</v>
      </c>
      <c r="C122" s="399" t="s">
        <v>46</v>
      </c>
      <c r="D122" s="367">
        <v>280</v>
      </c>
      <c r="E122" s="375"/>
      <c r="F122" s="399"/>
      <c r="G122" s="382"/>
      <c r="H122" s="375"/>
      <c r="I122" s="375"/>
      <c r="J122" s="422"/>
    </row>
    <row r="123" ht="21.75" customHeight="1" spans="1:10">
      <c r="A123" s="395" t="s">
        <v>141</v>
      </c>
      <c r="B123" s="396" t="s">
        <v>144</v>
      </c>
      <c r="C123" s="399" t="s">
        <v>44</v>
      </c>
      <c r="D123" s="367">
        <v>550</v>
      </c>
      <c r="E123" s="375"/>
      <c r="F123" s="399"/>
      <c r="G123" s="382"/>
      <c r="H123" s="375"/>
      <c r="I123" s="375"/>
      <c r="J123" s="422"/>
    </row>
    <row r="124" ht="21.75" customHeight="1" spans="1:10">
      <c r="A124" s="395" t="s">
        <v>141</v>
      </c>
      <c r="B124" s="396" t="s">
        <v>83</v>
      </c>
      <c r="C124" s="399" t="s">
        <v>46</v>
      </c>
      <c r="D124" s="367">
        <v>150</v>
      </c>
      <c r="E124" s="375"/>
      <c r="F124" s="399"/>
      <c r="G124" s="382"/>
      <c r="H124" s="375"/>
      <c r="I124" s="375"/>
      <c r="J124" s="422"/>
    </row>
    <row r="125" ht="21.75" customHeight="1" spans="1:10">
      <c r="A125" s="401" t="s">
        <v>141</v>
      </c>
      <c r="B125" s="402" t="s">
        <v>36</v>
      </c>
      <c r="C125" s="404" t="s">
        <v>128</v>
      </c>
      <c r="D125" s="367"/>
      <c r="E125" s="389"/>
      <c r="F125" s="404"/>
      <c r="G125" s="388"/>
      <c r="H125" s="389"/>
      <c r="I125" s="389"/>
      <c r="J125" s="423"/>
    </row>
    <row r="126" ht="26.25" spans="1:10">
      <c r="A126" s="435" t="s">
        <v>145</v>
      </c>
      <c r="B126" s="436" t="s">
        <v>146</v>
      </c>
      <c r="C126" s="434"/>
      <c r="D126" s="367"/>
      <c r="E126" s="391" t="s">
        <v>26</v>
      </c>
      <c r="F126" s="392" t="s">
        <v>121</v>
      </c>
      <c r="G126" s="394">
        <f>$G$6</f>
        <v>2500</v>
      </c>
      <c r="H126" s="368"/>
      <c r="I126" s="368"/>
      <c r="J126" s="421"/>
    </row>
    <row r="127" ht="15.75" customHeight="1" spans="1:10">
      <c r="A127" s="437" t="s">
        <v>145</v>
      </c>
      <c r="B127" s="158" t="s">
        <v>147</v>
      </c>
      <c r="C127" s="399" t="s">
        <v>46</v>
      </c>
      <c r="D127" s="367"/>
      <c r="E127" s="396" t="s">
        <v>29</v>
      </c>
      <c r="F127" s="397" t="s">
        <v>121</v>
      </c>
      <c r="G127" s="367">
        <f>$G$8</f>
        <v>2000</v>
      </c>
      <c r="H127" s="375"/>
      <c r="I127" s="375"/>
      <c r="J127" s="422"/>
    </row>
    <row r="128" ht="15.75" customHeight="1" spans="1:10">
      <c r="A128" s="437" t="s">
        <v>145</v>
      </c>
      <c r="B128" s="158" t="s">
        <v>148</v>
      </c>
      <c r="C128" s="399" t="s">
        <v>46</v>
      </c>
      <c r="D128" s="367"/>
      <c r="E128" s="375"/>
      <c r="F128" s="399"/>
      <c r="G128" s="382"/>
      <c r="H128" s="375"/>
      <c r="I128" s="375"/>
      <c r="J128" s="422"/>
    </row>
    <row r="129" ht="15.75" customHeight="1" spans="1:10">
      <c r="A129" s="437" t="s">
        <v>145</v>
      </c>
      <c r="B129" s="158" t="s">
        <v>149</v>
      </c>
      <c r="C129" s="399" t="s">
        <v>46</v>
      </c>
      <c r="D129" s="367"/>
      <c r="E129" s="375"/>
      <c r="F129" s="399"/>
      <c r="G129" s="382"/>
      <c r="H129" s="375"/>
      <c r="I129" s="375"/>
      <c r="J129" s="422"/>
    </row>
    <row r="130" ht="15.75" customHeight="1" spans="1:10">
      <c r="A130" s="437" t="s">
        <v>145</v>
      </c>
      <c r="B130" s="158" t="s">
        <v>150</v>
      </c>
      <c r="C130" s="399" t="s">
        <v>46</v>
      </c>
      <c r="D130" s="367"/>
      <c r="E130" s="375"/>
      <c r="F130" s="399"/>
      <c r="G130" s="382"/>
      <c r="H130" s="375"/>
      <c r="I130" s="375"/>
      <c r="J130" s="422"/>
    </row>
    <row r="131" ht="15.75" customHeight="1" spans="1:10">
      <c r="A131" s="437" t="s">
        <v>145</v>
      </c>
      <c r="B131" s="158" t="s">
        <v>151</v>
      </c>
      <c r="C131" s="399" t="s">
        <v>46</v>
      </c>
      <c r="D131" s="367"/>
      <c r="E131" s="375"/>
      <c r="F131" s="399"/>
      <c r="G131" s="382"/>
      <c r="H131" s="375"/>
      <c r="I131" s="375"/>
      <c r="J131" s="422"/>
    </row>
    <row r="132" ht="15.75" customHeight="1" spans="1:10">
      <c r="A132" s="437" t="s">
        <v>145</v>
      </c>
      <c r="B132" s="158" t="s">
        <v>152</v>
      </c>
      <c r="C132" s="399" t="s">
        <v>46</v>
      </c>
      <c r="D132" s="367"/>
      <c r="E132" s="375"/>
      <c r="F132" s="399"/>
      <c r="G132" s="382"/>
      <c r="H132" s="375"/>
      <c r="I132" s="375"/>
      <c r="J132" s="422"/>
    </row>
    <row r="133" ht="15.75" customHeight="1" spans="1:10">
      <c r="A133" s="437" t="s">
        <v>145</v>
      </c>
      <c r="B133" s="158" t="s">
        <v>153</v>
      </c>
      <c r="C133" s="399" t="s">
        <v>46</v>
      </c>
      <c r="D133" s="367"/>
      <c r="E133" s="375"/>
      <c r="F133" s="399"/>
      <c r="G133" s="382"/>
      <c r="H133" s="375"/>
      <c r="I133" s="375"/>
      <c r="J133" s="422"/>
    </row>
    <row r="134" ht="15.75" customHeight="1" spans="1:10">
      <c r="A134" s="437" t="s">
        <v>145</v>
      </c>
      <c r="B134" s="158" t="s">
        <v>154</v>
      </c>
      <c r="C134" s="399" t="s">
        <v>46</v>
      </c>
      <c r="D134" s="367"/>
      <c r="E134" s="375"/>
      <c r="F134" s="399"/>
      <c r="G134" s="382"/>
      <c r="H134" s="375"/>
      <c r="I134" s="375"/>
      <c r="J134" s="422"/>
    </row>
    <row r="135" ht="26.25" spans="1:10">
      <c r="A135" s="437" t="s">
        <v>145</v>
      </c>
      <c r="B135" s="441" t="s">
        <v>155</v>
      </c>
      <c r="C135" s="399"/>
      <c r="D135" s="367"/>
      <c r="E135" s="375"/>
      <c r="F135" s="399"/>
      <c r="G135" s="382"/>
      <c r="H135" s="375"/>
      <c r="I135" s="375"/>
      <c r="J135" s="422"/>
    </row>
    <row r="136" ht="15.75" customHeight="1" spans="1:10">
      <c r="A136" s="437" t="s">
        <v>145</v>
      </c>
      <c r="B136" s="158" t="s">
        <v>147</v>
      </c>
      <c r="C136" s="399" t="s">
        <v>46</v>
      </c>
      <c r="D136" s="367"/>
      <c r="E136" s="375"/>
      <c r="F136" s="399"/>
      <c r="G136" s="382"/>
      <c r="H136" s="375"/>
      <c r="I136" s="375"/>
      <c r="J136" s="422"/>
    </row>
    <row r="137" ht="15.75" customHeight="1" spans="1:10">
      <c r="A137" s="437" t="s">
        <v>145</v>
      </c>
      <c r="B137" s="158" t="s">
        <v>148</v>
      </c>
      <c r="C137" s="399" t="s">
        <v>46</v>
      </c>
      <c r="D137" s="367"/>
      <c r="E137" s="375"/>
      <c r="F137" s="399"/>
      <c r="G137" s="382"/>
      <c r="H137" s="375"/>
      <c r="I137" s="375"/>
      <c r="J137" s="422"/>
    </row>
    <row r="138" ht="15.75" customHeight="1" spans="1:10">
      <c r="A138" s="437" t="s">
        <v>145</v>
      </c>
      <c r="B138" s="158" t="s">
        <v>149</v>
      </c>
      <c r="C138" s="399" t="s">
        <v>46</v>
      </c>
      <c r="D138" s="367"/>
      <c r="E138" s="375"/>
      <c r="F138" s="399"/>
      <c r="G138" s="382"/>
      <c r="H138" s="375"/>
      <c r="I138" s="375"/>
      <c r="J138" s="422"/>
    </row>
    <row r="139" ht="15.75" customHeight="1" spans="1:10">
      <c r="A139" s="437" t="s">
        <v>145</v>
      </c>
      <c r="B139" s="158" t="s">
        <v>150</v>
      </c>
      <c r="C139" s="399" t="s">
        <v>46</v>
      </c>
      <c r="D139" s="367"/>
      <c r="E139" s="375"/>
      <c r="F139" s="399"/>
      <c r="G139" s="382"/>
      <c r="H139" s="375"/>
      <c r="I139" s="375"/>
      <c r="J139" s="422"/>
    </row>
    <row r="140" ht="15.75" customHeight="1" spans="1:10">
      <c r="A140" s="437" t="s">
        <v>145</v>
      </c>
      <c r="B140" s="158" t="s">
        <v>151</v>
      </c>
      <c r="C140" s="399" t="s">
        <v>46</v>
      </c>
      <c r="D140" s="367"/>
      <c r="E140" s="375"/>
      <c r="F140" s="399"/>
      <c r="G140" s="382"/>
      <c r="H140" s="375"/>
      <c r="I140" s="375"/>
      <c r="J140" s="422"/>
    </row>
    <row r="141" ht="15.75" customHeight="1" spans="1:10">
      <c r="A141" s="437" t="s">
        <v>145</v>
      </c>
      <c r="B141" s="158" t="s">
        <v>152</v>
      </c>
      <c r="C141" s="399" t="s">
        <v>46</v>
      </c>
      <c r="D141" s="367"/>
      <c r="E141" s="375"/>
      <c r="F141" s="399"/>
      <c r="G141" s="382"/>
      <c r="H141" s="375"/>
      <c r="I141" s="375"/>
      <c r="J141" s="422"/>
    </row>
    <row r="142" ht="15.75" customHeight="1" spans="1:10">
      <c r="A142" s="437" t="s">
        <v>145</v>
      </c>
      <c r="B142" s="158" t="s">
        <v>153</v>
      </c>
      <c r="C142" s="399" t="s">
        <v>46</v>
      </c>
      <c r="D142" s="367"/>
      <c r="E142" s="375"/>
      <c r="F142" s="399"/>
      <c r="G142" s="382"/>
      <c r="H142" s="375"/>
      <c r="I142" s="375"/>
      <c r="J142" s="422"/>
    </row>
    <row r="143" ht="15.75" customHeight="1" spans="1:10">
      <c r="A143" s="437" t="s">
        <v>145</v>
      </c>
      <c r="B143" s="158" t="s">
        <v>154</v>
      </c>
      <c r="C143" s="399" t="s">
        <v>46</v>
      </c>
      <c r="D143" s="367"/>
      <c r="E143" s="375"/>
      <c r="F143" s="399"/>
      <c r="G143" s="382"/>
      <c r="H143" s="375"/>
      <c r="I143" s="375"/>
      <c r="J143" s="422"/>
    </row>
    <row r="144" ht="26.25" spans="1:10">
      <c r="A144" s="437" t="s">
        <v>145</v>
      </c>
      <c r="B144" s="441" t="s">
        <v>156</v>
      </c>
      <c r="C144" s="399"/>
      <c r="D144" s="367"/>
      <c r="E144" s="375"/>
      <c r="F144" s="399"/>
      <c r="G144" s="382"/>
      <c r="H144" s="375"/>
      <c r="I144" s="375"/>
      <c r="J144" s="422"/>
    </row>
    <row r="145" ht="15.75" customHeight="1" spans="1:10">
      <c r="A145" s="437" t="s">
        <v>145</v>
      </c>
      <c r="B145" s="158" t="s">
        <v>147</v>
      </c>
      <c r="C145" s="399" t="s">
        <v>46</v>
      </c>
      <c r="D145" s="367"/>
      <c r="E145" s="375"/>
      <c r="F145" s="399"/>
      <c r="G145" s="382"/>
      <c r="H145" s="375"/>
      <c r="I145" s="375"/>
      <c r="J145" s="422"/>
    </row>
    <row r="146" ht="15.75" customHeight="1" spans="1:10">
      <c r="A146" s="437" t="s">
        <v>145</v>
      </c>
      <c r="B146" s="158" t="s">
        <v>148</v>
      </c>
      <c r="C146" s="399" t="s">
        <v>46</v>
      </c>
      <c r="D146" s="367"/>
      <c r="E146" s="375"/>
      <c r="F146" s="399"/>
      <c r="G146" s="382"/>
      <c r="H146" s="375"/>
      <c r="I146" s="375"/>
      <c r="J146" s="422"/>
    </row>
    <row r="147" ht="15.75" customHeight="1" spans="1:10">
      <c r="A147" s="437" t="s">
        <v>145</v>
      </c>
      <c r="B147" s="158" t="s">
        <v>149</v>
      </c>
      <c r="C147" s="399" t="s">
        <v>46</v>
      </c>
      <c r="D147" s="367"/>
      <c r="E147" s="375"/>
      <c r="F147" s="399"/>
      <c r="G147" s="382"/>
      <c r="H147" s="375"/>
      <c r="I147" s="375"/>
      <c r="J147" s="422"/>
    </row>
    <row r="148" ht="15.75" customHeight="1" spans="1:10">
      <c r="A148" s="437" t="s">
        <v>145</v>
      </c>
      <c r="B148" s="158" t="s">
        <v>150</v>
      </c>
      <c r="C148" s="399" t="s">
        <v>46</v>
      </c>
      <c r="D148" s="367"/>
      <c r="E148" s="375"/>
      <c r="F148" s="399"/>
      <c r="G148" s="382"/>
      <c r="H148" s="375"/>
      <c r="I148" s="375"/>
      <c r="J148" s="422"/>
    </row>
    <row r="149" ht="15.75" customHeight="1" spans="1:10">
      <c r="A149" s="437" t="s">
        <v>145</v>
      </c>
      <c r="B149" s="158" t="s">
        <v>151</v>
      </c>
      <c r="C149" s="399" t="s">
        <v>46</v>
      </c>
      <c r="D149" s="367">
        <v>1850</v>
      </c>
      <c r="E149" s="375"/>
      <c r="F149" s="399"/>
      <c r="G149" s="382"/>
      <c r="H149" s="375"/>
      <c r="I149" s="375"/>
      <c r="J149" s="422"/>
    </row>
    <row r="150" ht="15.75" customHeight="1" spans="1:10">
      <c r="A150" s="437" t="s">
        <v>145</v>
      </c>
      <c r="B150" s="158" t="s">
        <v>152</v>
      </c>
      <c r="C150" s="399" t="s">
        <v>46</v>
      </c>
      <c r="D150" s="367"/>
      <c r="E150" s="375"/>
      <c r="F150" s="399"/>
      <c r="G150" s="382"/>
      <c r="H150" s="375"/>
      <c r="I150" s="375"/>
      <c r="J150" s="422"/>
    </row>
    <row r="151" ht="15.75" customHeight="1" spans="1:10">
      <c r="A151" s="437" t="s">
        <v>145</v>
      </c>
      <c r="B151" s="158" t="s">
        <v>153</v>
      </c>
      <c r="C151" s="399" t="s">
        <v>46</v>
      </c>
      <c r="D151" s="367"/>
      <c r="E151" s="375"/>
      <c r="F151" s="399"/>
      <c r="G151" s="382"/>
      <c r="H151" s="375"/>
      <c r="I151" s="375"/>
      <c r="J151" s="422"/>
    </row>
    <row r="152" ht="15.75" customHeight="1" spans="1:10">
      <c r="A152" s="437" t="s">
        <v>145</v>
      </c>
      <c r="B152" s="158" t="s">
        <v>154</v>
      </c>
      <c r="C152" s="399" t="s">
        <v>46</v>
      </c>
      <c r="D152" s="367"/>
      <c r="E152" s="375"/>
      <c r="F152" s="399"/>
      <c r="G152" s="382"/>
      <c r="H152" s="375"/>
      <c r="I152" s="375"/>
      <c r="J152" s="422"/>
    </row>
    <row r="153" ht="15.75" customHeight="1" spans="1:11">
      <c r="A153" s="442" t="s">
        <v>145</v>
      </c>
      <c r="B153" s="443" t="s">
        <v>157</v>
      </c>
      <c r="C153" s="399"/>
      <c r="D153" s="444"/>
      <c r="E153" s="445"/>
      <c r="F153" s="446"/>
      <c r="G153" s="441"/>
      <c r="H153" s="443"/>
      <c r="I153" s="441"/>
      <c r="J153" s="450"/>
      <c r="K153" s="347"/>
    </row>
    <row r="154" ht="15.75" customHeight="1" spans="1:11">
      <c r="A154" s="437" t="s">
        <v>145</v>
      </c>
      <c r="B154" s="158" t="s">
        <v>147</v>
      </c>
      <c r="C154" s="399" t="s">
        <v>46</v>
      </c>
      <c r="D154" s="447"/>
      <c r="E154" s="396"/>
      <c r="F154" s="446"/>
      <c r="G154" s="429"/>
      <c r="H154" s="429"/>
      <c r="I154" s="429"/>
      <c r="J154" s="439"/>
      <c r="K154" s="451"/>
    </row>
    <row r="155" ht="15.75" customHeight="1" spans="1:11">
      <c r="A155" s="437" t="s">
        <v>145</v>
      </c>
      <c r="B155" s="158" t="s">
        <v>148</v>
      </c>
      <c r="C155" s="399" t="s">
        <v>46</v>
      </c>
      <c r="D155" s="447"/>
      <c r="E155" s="396"/>
      <c r="F155" s="446"/>
      <c r="G155" s="429"/>
      <c r="H155" s="429"/>
      <c r="I155" s="429"/>
      <c r="J155" s="439"/>
      <c r="K155" s="451"/>
    </row>
    <row r="156" ht="15.75" customHeight="1" spans="1:11">
      <c r="A156" s="437" t="s">
        <v>145</v>
      </c>
      <c r="B156" s="158" t="s">
        <v>149</v>
      </c>
      <c r="C156" s="399" t="s">
        <v>46</v>
      </c>
      <c r="D156" s="447"/>
      <c r="E156" s="396"/>
      <c r="F156" s="446"/>
      <c r="G156" s="429"/>
      <c r="H156" s="429"/>
      <c r="I156" s="429"/>
      <c r="J156" s="439"/>
      <c r="K156" s="451"/>
    </row>
    <row r="157" ht="15.75" customHeight="1" spans="1:11">
      <c r="A157" s="437" t="s">
        <v>145</v>
      </c>
      <c r="B157" s="158" t="s">
        <v>150</v>
      </c>
      <c r="C157" s="399" t="s">
        <v>46</v>
      </c>
      <c r="D157" s="447"/>
      <c r="E157" s="396"/>
      <c r="F157" s="446"/>
      <c r="G157" s="429"/>
      <c r="H157" s="429"/>
      <c r="I157" s="429"/>
      <c r="J157" s="439"/>
      <c r="K157" s="451"/>
    </row>
    <row r="158" ht="15.75" customHeight="1" spans="1:11">
      <c r="A158" s="437" t="s">
        <v>145</v>
      </c>
      <c r="B158" s="158" t="s">
        <v>151</v>
      </c>
      <c r="C158" s="399" t="s">
        <v>46</v>
      </c>
      <c r="D158" s="447"/>
      <c r="E158" s="396"/>
      <c r="F158" s="446"/>
      <c r="G158" s="429"/>
      <c r="H158" s="429"/>
      <c r="I158" s="429"/>
      <c r="J158" s="439"/>
      <c r="K158" s="451"/>
    </row>
    <row r="159" ht="15.75" customHeight="1" spans="1:11">
      <c r="A159" s="437" t="s">
        <v>145</v>
      </c>
      <c r="B159" s="158" t="s">
        <v>152</v>
      </c>
      <c r="C159" s="399" t="s">
        <v>46</v>
      </c>
      <c r="D159" s="447"/>
      <c r="E159" s="396"/>
      <c r="F159" s="446"/>
      <c r="G159" s="429"/>
      <c r="H159" s="429"/>
      <c r="I159" s="429"/>
      <c r="J159" s="439"/>
      <c r="K159" s="451"/>
    </row>
    <row r="160" ht="15.75" customHeight="1" spans="1:11">
      <c r="A160" s="437" t="s">
        <v>145</v>
      </c>
      <c r="B160" s="158" t="s">
        <v>153</v>
      </c>
      <c r="C160" s="399" t="s">
        <v>46</v>
      </c>
      <c r="D160" s="447"/>
      <c r="E160" s="396"/>
      <c r="F160" s="446"/>
      <c r="G160" s="429"/>
      <c r="H160" s="429"/>
      <c r="I160" s="429"/>
      <c r="J160" s="439"/>
      <c r="K160" s="451"/>
    </row>
    <row r="161" ht="15.75" customHeight="1" spans="1:11">
      <c r="A161" s="437" t="s">
        <v>145</v>
      </c>
      <c r="B161" s="158" t="s">
        <v>154</v>
      </c>
      <c r="C161" s="399" t="s">
        <v>46</v>
      </c>
      <c r="D161" s="447"/>
      <c r="E161" s="448"/>
      <c r="F161" s="446"/>
      <c r="G161" s="429"/>
      <c r="H161" s="429"/>
      <c r="I161" s="429"/>
      <c r="J161" s="439"/>
      <c r="K161" s="347"/>
    </row>
    <row r="162" ht="15.75" customHeight="1" spans="1:11">
      <c r="A162" s="437" t="s">
        <v>145</v>
      </c>
      <c r="B162" s="443" t="s">
        <v>158</v>
      </c>
      <c r="C162" s="399"/>
      <c r="D162" s="367"/>
      <c r="E162" s="448"/>
      <c r="F162" s="430"/>
      <c r="G162" s="429"/>
      <c r="H162" s="429"/>
      <c r="I162" s="429"/>
      <c r="J162" s="439"/>
      <c r="K162" s="347"/>
    </row>
    <row r="163" ht="15.75" customHeight="1" spans="1:11">
      <c r="A163" s="437" t="s">
        <v>145</v>
      </c>
      <c r="B163" s="158" t="s">
        <v>147</v>
      </c>
      <c r="C163" s="399" t="s">
        <v>46</v>
      </c>
      <c r="D163" s="367"/>
      <c r="E163" s="448"/>
      <c r="F163" s="430"/>
      <c r="G163" s="429"/>
      <c r="H163" s="429"/>
      <c r="I163" s="429"/>
      <c r="J163" s="439"/>
      <c r="K163" s="347"/>
    </row>
    <row r="164" ht="15.75" customHeight="1" spans="1:11">
      <c r="A164" s="437" t="s">
        <v>145</v>
      </c>
      <c r="B164" s="158" t="s">
        <v>148</v>
      </c>
      <c r="C164" s="399" t="s">
        <v>46</v>
      </c>
      <c r="D164" s="367"/>
      <c r="E164" s="448"/>
      <c r="F164" s="430"/>
      <c r="G164" s="443"/>
      <c r="H164" s="443"/>
      <c r="I164" s="443"/>
      <c r="J164" s="450"/>
      <c r="K164" s="347"/>
    </row>
    <row r="165" ht="15.75" customHeight="1" spans="1:11">
      <c r="A165" s="437" t="s">
        <v>145</v>
      </c>
      <c r="B165" s="158" t="s">
        <v>149</v>
      </c>
      <c r="C165" s="399" t="s">
        <v>46</v>
      </c>
      <c r="D165" s="367"/>
      <c r="E165" s="448"/>
      <c r="F165" s="430"/>
      <c r="G165" s="429"/>
      <c r="H165" s="429"/>
      <c r="I165" s="429"/>
      <c r="J165" s="439"/>
      <c r="K165" s="347"/>
    </row>
    <row r="166" ht="15.75" customHeight="1" spans="1:11">
      <c r="A166" s="437" t="s">
        <v>145</v>
      </c>
      <c r="B166" s="158" t="s">
        <v>150</v>
      </c>
      <c r="C166" s="399" t="s">
        <v>46</v>
      </c>
      <c r="D166" s="447"/>
      <c r="E166" s="396"/>
      <c r="F166" s="446"/>
      <c r="G166" s="429"/>
      <c r="H166" s="429"/>
      <c r="I166" s="429"/>
      <c r="J166" s="439"/>
      <c r="K166" s="451"/>
    </row>
    <row r="167" ht="15.75" customHeight="1" spans="1:11">
      <c r="A167" s="437" t="s">
        <v>145</v>
      </c>
      <c r="B167" s="158" t="s">
        <v>151</v>
      </c>
      <c r="C167" s="399" t="s">
        <v>46</v>
      </c>
      <c r="D167" s="447"/>
      <c r="E167" s="396"/>
      <c r="F167" s="446"/>
      <c r="G167" s="429"/>
      <c r="H167" s="429"/>
      <c r="I167" s="429"/>
      <c r="J167" s="439"/>
      <c r="K167" s="451"/>
    </row>
    <row r="168" ht="15.75" customHeight="1" spans="1:11">
      <c r="A168" s="437" t="s">
        <v>145</v>
      </c>
      <c r="B168" s="158" t="s">
        <v>152</v>
      </c>
      <c r="C168" s="399" t="s">
        <v>46</v>
      </c>
      <c r="D168" s="447"/>
      <c r="E168" s="396"/>
      <c r="F168" s="446"/>
      <c r="G168" s="429"/>
      <c r="H168" s="429"/>
      <c r="I168" s="429"/>
      <c r="J168" s="439"/>
      <c r="K168" s="451"/>
    </row>
    <row r="169" ht="15.75" customHeight="1" spans="1:11">
      <c r="A169" s="437" t="s">
        <v>145</v>
      </c>
      <c r="B169" s="158" t="s">
        <v>153</v>
      </c>
      <c r="C169" s="399" t="s">
        <v>46</v>
      </c>
      <c r="D169" s="447"/>
      <c r="E169" s="396"/>
      <c r="F169" s="446"/>
      <c r="G169" s="429"/>
      <c r="H169" s="429"/>
      <c r="I169" s="429"/>
      <c r="J169" s="439"/>
      <c r="K169" s="451"/>
    </row>
    <row r="170" ht="15.75" customHeight="1" spans="1:11">
      <c r="A170" s="437" t="s">
        <v>145</v>
      </c>
      <c r="B170" s="158" t="s">
        <v>154</v>
      </c>
      <c r="C170" s="399" t="s">
        <v>46</v>
      </c>
      <c r="D170" s="447"/>
      <c r="E170" s="396"/>
      <c r="F170" s="446"/>
      <c r="G170" s="429"/>
      <c r="H170" s="429"/>
      <c r="I170" s="429"/>
      <c r="J170" s="439"/>
      <c r="K170" s="451"/>
    </row>
    <row r="171" ht="15.75" customHeight="1" spans="1:11">
      <c r="A171" s="437" t="s">
        <v>145</v>
      </c>
      <c r="B171" s="443" t="s">
        <v>159</v>
      </c>
      <c r="C171" s="399"/>
      <c r="D171" s="447"/>
      <c r="E171" s="396"/>
      <c r="F171" s="446"/>
      <c r="G171" s="429"/>
      <c r="H171" s="429"/>
      <c r="I171" s="429"/>
      <c r="J171" s="439"/>
      <c r="K171" s="451"/>
    </row>
    <row r="172" ht="15.75" customHeight="1" spans="1:11">
      <c r="A172" s="437" t="s">
        <v>145</v>
      </c>
      <c r="B172" s="158" t="s">
        <v>147</v>
      </c>
      <c r="C172" s="399" t="s">
        <v>46</v>
      </c>
      <c r="D172" s="447"/>
      <c r="E172" s="396"/>
      <c r="F172" s="446"/>
      <c r="G172" s="429"/>
      <c r="H172" s="429"/>
      <c r="I172" s="429"/>
      <c r="J172" s="439"/>
      <c r="K172" s="451"/>
    </row>
    <row r="173" ht="15.75" customHeight="1" spans="1:11">
      <c r="A173" s="437" t="s">
        <v>145</v>
      </c>
      <c r="B173" s="158" t="s">
        <v>148</v>
      </c>
      <c r="C173" s="399" t="s">
        <v>46</v>
      </c>
      <c r="D173" s="447"/>
      <c r="E173" s="445"/>
      <c r="F173" s="446"/>
      <c r="G173" s="429"/>
      <c r="H173" s="429"/>
      <c r="I173" s="429"/>
      <c r="J173" s="439"/>
      <c r="K173" s="451"/>
    </row>
    <row r="174" ht="15.75" customHeight="1" spans="1:10">
      <c r="A174" s="437" t="s">
        <v>145</v>
      </c>
      <c r="B174" s="158" t="s">
        <v>149</v>
      </c>
      <c r="C174" s="399" t="s">
        <v>46</v>
      </c>
      <c r="D174" s="367">
        <v>60</v>
      </c>
      <c r="E174" s="375"/>
      <c r="F174" s="399"/>
      <c r="G174" s="382"/>
      <c r="H174" s="375"/>
      <c r="I174" s="375"/>
      <c r="J174" s="422"/>
    </row>
    <row r="175" ht="15.75" customHeight="1" spans="1:10">
      <c r="A175" s="437" t="s">
        <v>145</v>
      </c>
      <c r="B175" s="158" t="s">
        <v>150</v>
      </c>
      <c r="C175" s="399" t="s">
        <v>46</v>
      </c>
      <c r="D175" s="367"/>
      <c r="E175" s="375"/>
      <c r="F175" s="399"/>
      <c r="G175" s="382"/>
      <c r="H175" s="375"/>
      <c r="I175" s="375"/>
      <c r="J175" s="422"/>
    </row>
    <row r="176" ht="15.75" customHeight="1" spans="1:10">
      <c r="A176" s="437" t="s">
        <v>145</v>
      </c>
      <c r="B176" s="158" t="s">
        <v>151</v>
      </c>
      <c r="C176" s="399" t="s">
        <v>46</v>
      </c>
      <c r="D176" s="367">
        <v>225</v>
      </c>
      <c r="E176" s="375"/>
      <c r="F176" s="399"/>
      <c r="G176" s="382"/>
      <c r="H176" s="375"/>
      <c r="I176" s="375"/>
      <c r="J176" s="422"/>
    </row>
    <row r="177" ht="15.75" customHeight="1" spans="1:10">
      <c r="A177" s="437" t="s">
        <v>145</v>
      </c>
      <c r="B177" s="158" t="s">
        <v>152</v>
      </c>
      <c r="C177" s="399" t="s">
        <v>46</v>
      </c>
      <c r="D177" s="367"/>
      <c r="E177" s="375"/>
      <c r="F177" s="399"/>
      <c r="G177" s="382"/>
      <c r="H177" s="375"/>
      <c r="I177" s="375"/>
      <c r="J177" s="422"/>
    </row>
    <row r="178" ht="15.75" customHeight="1" spans="1:10">
      <c r="A178" s="437" t="s">
        <v>145</v>
      </c>
      <c r="B178" s="158" t="s">
        <v>153</v>
      </c>
      <c r="C178" s="399" t="s">
        <v>46</v>
      </c>
      <c r="D178" s="367"/>
      <c r="E178" s="375"/>
      <c r="F178" s="399"/>
      <c r="G178" s="382"/>
      <c r="H178" s="375"/>
      <c r="I178" s="375"/>
      <c r="J178" s="422"/>
    </row>
    <row r="179" ht="15.75" customHeight="1" spans="1:10">
      <c r="A179" s="437" t="s">
        <v>145</v>
      </c>
      <c r="B179" s="158" t="s">
        <v>154</v>
      </c>
      <c r="C179" s="399" t="s">
        <v>46</v>
      </c>
      <c r="D179" s="367">
        <v>540</v>
      </c>
      <c r="E179" s="375"/>
      <c r="F179" s="399"/>
      <c r="G179" s="382"/>
      <c r="H179" s="375"/>
      <c r="I179" s="375"/>
      <c r="J179" s="422"/>
    </row>
    <row r="180" ht="15.75" customHeight="1" spans="1:10">
      <c r="A180" s="437" t="s">
        <v>145</v>
      </c>
      <c r="B180" s="441" t="s">
        <v>160</v>
      </c>
      <c r="C180" s="399"/>
      <c r="D180" s="367"/>
      <c r="E180" s="375"/>
      <c r="F180" s="399"/>
      <c r="G180" s="382"/>
      <c r="H180" s="375"/>
      <c r="I180" s="375"/>
      <c r="J180" s="422"/>
    </row>
    <row r="181" ht="15.75" customHeight="1" spans="1:10">
      <c r="A181" s="437" t="s">
        <v>145</v>
      </c>
      <c r="B181" s="158" t="s">
        <v>147</v>
      </c>
      <c r="C181" s="399" t="s">
        <v>46</v>
      </c>
      <c r="D181" s="367"/>
      <c r="E181" s="375"/>
      <c r="F181" s="399"/>
      <c r="G181" s="382"/>
      <c r="H181" s="375"/>
      <c r="I181" s="375"/>
      <c r="J181" s="422"/>
    </row>
    <row r="182" ht="15.75" customHeight="1" spans="1:10">
      <c r="A182" s="437" t="s">
        <v>145</v>
      </c>
      <c r="B182" s="158" t="s">
        <v>148</v>
      </c>
      <c r="C182" s="399" t="s">
        <v>46</v>
      </c>
      <c r="D182" s="367"/>
      <c r="E182" s="375"/>
      <c r="F182" s="399"/>
      <c r="G182" s="382"/>
      <c r="H182" s="375"/>
      <c r="I182" s="375"/>
      <c r="J182" s="422"/>
    </row>
    <row r="183" ht="15.75" customHeight="1" spans="1:10">
      <c r="A183" s="437" t="s">
        <v>145</v>
      </c>
      <c r="B183" s="158" t="s">
        <v>149</v>
      </c>
      <c r="C183" s="399" t="s">
        <v>46</v>
      </c>
      <c r="D183" s="367">
        <v>60</v>
      </c>
      <c r="E183" s="375"/>
      <c r="F183" s="399"/>
      <c r="G183" s="382"/>
      <c r="H183" s="375"/>
      <c r="I183" s="375"/>
      <c r="J183" s="422"/>
    </row>
    <row r="184" ht="15.75" customHeight="1" spans="1:10">
      <c r="A184" s="437" t="s">
        <v>145</v>
      </c>
      <c r="B184" s="158" t="s">
        <v>150</v>
      </c>
      <c r="C184" s="399" t="s">
        <v>46</v>
      </c>
      <c r="D184" s="367"/>
      <c r="E184" s="375"/>
      <c r="F184" s="399"/>
      <c r="G184" s="382"/>
      <c r="H184" s="375"/>
      <c r="I184" s="375"/>
      <c r="J184" s="422"/>
    </row>
    <row r="185" ht="15.75" customHeight="1" spans="1:10">
      <c r="A185" s="437" t="s">
        <v>145</v>
      </c>
      <c r="B185" s="158" t="s">
        <v>151</v>
      </c>
      <c r="C185" s="399" t="s">
        <v>46</v>
      </c>
      <c r="D185" s="367"/>
      <c r="E185" s="375"/>
      <c r="F185" s="399"/>
      <c r="G185" s="382"/>
      <c r="H185" s="375"/>
      <c r="I185" s="375"/>
      <c r="J185" s="422"/>
    </row>
    <row r="186" ht="15.75" customHeight="1" spans="1:10">
      <c r="A186" s="437" t="s">
        <v>145</v>
      </c>
      <c r="B186" s="158" t="s">
        <v>152</v>
      </c>
      <c r="C186" s="399" t="s">
        <v>46</v>
      </c>
      <c r="D186" s="367"/>
      <c r="E186" s="375"/>
      <c r="F186" s="399"/>
      <c r="G186" s="382"/>
      <c r="H186" s="375"/>
      <c r="I186" s="375"/>
      <c r="J186" s="422"/>
    </row>
    <row r="187" ht="15.75" customHeight="1" spans="1:10">
      <c r="A187" s="437" t="s">
        <v>145</v>
      </c>
      <c r="B187" s="158" t="s">
        <v>153</v>
      </c>
      <c r="C187" s="399" t="s">
        <v>46</v>
      </c>
      <c r="D187" s="367"/>
      <c r="E187" s="375"/>
      <c r="F187" s="399"/>
      <c r="G187" s="382"/>
      <c r="H187" s="375"/>
      <c r="I187" s="375"/>
      <c r="J187" s="422"/>
    </row>
    <row r="188" ht="15.75" customHeight="1" spans="1:10">
      <c r="A188" s="437" t="s">
        <v>145</v>
      </c>
      <c r="B188" s="158" t="s">
        <v>154</v>
      </c>
      <c r="C188" s="399" t="s">
        <v>46</v>
      </c>
      <c r="D188" s="367"/>
      <c r="E188" s="375"/>
      <c r="F188" s="399"/>
      <c r="G188" s="382"/>
      <c r="H188" s="375"/>
      <c r="I188" s="375"/>
      <c r="J188" s="422"/>
    </row>
    <row r="189" ht="15.75" customHeight="1" spans="1:10">
      <c r="A189" s="437" t="s">
        <v>145</v>
      </c>
      <c r="B189" s="443" t="s">
        <v>161</v>
      </c>
      <c r="C189" s="399"/>
      <c r="D189" s="367"/>
      <c r="E189" s="375"/>
      <c r="F189" s="399"/>
      <c r="G189" s="382"/>
      <c r="H189" s="375"/>
      <c r="I189" s="375"/>
      <c r="J189" s="422"/>
    </row>
    <row r="190" ht="15.75" customHeight="1" spans="1:10">
      <c r="A190" s="437" t="s">
        <v>145</v>
      </c>
      <c r="B190" s="158" t="s">
        <v>147</v>
      </c>
      <c r="C190" s="399" t="s">
        <v>46</v>
      </c>
      <c r="D190" s="367"/>
      <c r="E190" s="375"/>
      <c r="F190" s="399"/>
      <c r="G190" s="382"/>
      <c r="H190" s="375"/>
      <c r="I190" s="375"/>
      <c r="J190" s="422"/>
    </row>
    <row r="191" ht="15.75" customHeight="1" spans="1:10">
      <c r="A191" s="437" t="s">
        <v>145</v>
      </c>
      <c r="B191" s="158" t="s">
        <v>148</v>
      </c>
      <c r="C191" s="399" t="s">
        <v>46</v>
      </c>
      <c r="D191" s="367"/>
      <c r="E191" s="375"/>
      <c r="F191" s="399"/>
      <c r="G191" s="382"/>
      <c r="H191" s="449"/>
      <c r="I191" s="375"/>
      <c r="J191" s="422"/>
    </row>
    <row r="192" ht="15.75" customHeight="1" spans="1:10">
      <c r="A192" s="437" t="s">
        <v>145</v>
      </c>
      <c r="B192" s="158" t="s">
        <v>149</v>
      </c>
      <c r="C192" s="399" t="s">
        <v>46</v>
      </c>
      <c r="D192" s="367"/>
      <c r="E192" s="375"/>
      <c r="F192" s="399"/>
      <c r="G192" s="382"/>
      <c r="H192" s="375"/>
      <c r="I192" s="375"/>
      <c r="J192" s="422"/>
    </row>
    <row r="193" ht="15.75" customHeight="1" spans="1:10">
      <c r="A193" s="437" t="s">
        <v>145</v>
      </c>
      <c r="B193" s="158" t="s">
        <v>150</v>
      </c>
      <c r="C193" s="399" t="s">
        <v>46</v>
      </c>
      <c r="D193" s="367"/>
      <c r="E193" s="375"/>
      <c r="F193" s="399"/>
      <c r="G193" s="382"/>
      <c r="H193" s="375"/>
      <c r="I193" s="375"/>
      <c r="J193" s="422"/>
    </row>
    <row r="194" ht="15.75" customHeight="1" spans="1:10">
      <c r="A194" s="437" t="s">
        <v>145</v>
      </c>
      <c r="B194" s="158" t="s">
        <v>151</v>
      </c>
      <c r="C194" s="399" t="s">
        <v>46</v>
      </c>
      <c r="D194" s="367"/>
      <c r="E194" s="375"/>
      <c r="F194" s="399"/>
      <c r="G194" s="382"/>
      <c r="H194" s="375"/>
      <c r="I194" s="375"/>
      <c r="J194" s="422"/>
    </row>
    <row r="195" ht="15.75" customHeight="1" spans="1:10">
      <c r="A195" s="437" t="s">
        <v>145</v>
      </c>
      <c r="B195" s="158" t="s">
        <v>152</v>
      </c>
      <c r="C195" s="399" t="s">
        <v>46</v>
      </c>
      <c r="D195" s="367"/>
      <c r="E195" s="375"/>
      <c r="F195" s="399"/>
      <c r="G195" s="382"/>
      <c r="H195" s="375"/>
      <c r="I195" s="375"/>
      <c r="J195" s="422"/>
    </row>
    <row r="196" ht="15.75" customHeight="1" spans="1:10">
      <c r="A196" s="437" t="s">
        <v>145</v>
      </c>
      <c r="B196" s="158" t="s">
        <v>153</v>
      </c>
      <c r="C196" s="399" t="s">
        <v>46</v>
      </c>
      <c r="D196" s="367"/>
      <c r="E196" s="375"/>
      <c r="F196" s="399"/>
      <c r="G196" s="382"/>
      <c r="H196" s="375"/>
      <c r="I196" s="375"/>
      <c r="J196" s="422"/>
    </row>
    <row r="197" ht="15.75" customHeight="1" spans="1:10">
      <c r="A197" s="437" t="s">
        <v>145</v>
      </c>
      <c r="B197" s="158" t="s">
        <v>154</v>
      </c>
      <c r="C197" s="399" t="s">
        <v>46</v>
      </c>
      <c r="D197" s="367"/>
      <c r="E197" s="375"/>
      <c r="F197" s="399"/>
      <c r="G197" s="382"/>
      <c r="H197" s="375"/>
      <c r="I197" s="375"/>
      <c r="J197" s="422"/>
    </row>
    <row r="198" ht="15.75" customHeight="1" spans="1:10">
      <c r="A198" s="437" t="s">
        <v>145</v>
      </c>
      <c r="B198" s="443" t="s">
        <v>162</v>
      </c>
      <c r="C198" s="399"/>
      <c r="D198" s="367"/>
      <c r="E198" s="375"/>
      <c r="F198" s="399"/>
      <c r="G198" s="382"/>
      <c r="H198" s="375"/>
      <c r="I198" s="375"/>
      <c r="J198" s="422"/>
    </row>
    <row r="199" ht="15.75" customHeight="1" spans="1:10">
      <c r="A199" s="437" t="s">
        <v>145</v>
      </c>
      <c r="B199" s="158" t="s">
        <v>147</v>
      </c>
      <c r="C199" s="399" t="s">
        <v>46</v>
      </c>
      <c r="D199" s="367"/>
      <c r="E199" s="375"/>
      <c r="F199" s="399"/>
      <c r="G199" s="382"/>
      <c r="H199" s="375"/>
      <c r="I199" s="375"/>
      <c r="J199" s="422"/>
    </row>
    <row r="200" ht="15.75" customHeight="1" spans="1:10">
      <c r="A200" s="437" t="s">
        <v>145</v>
      </c>
      <c r="B200" s="158" t="s">
        <v>148</v>
      </c>
      <c r="C200" s="399" t="s">
        <v>46</v>
      </c>
      <c r="D200" s="367"/>
      <c r="E200" s="375"/>
      <c r="F200" s="399"/>
      <c r="G200" s="382"/>
      <c r="H200" s="449"/>
      <c r="I200" s="375"/>
      <c r="J200" s="422"/>
    </row>
    <row r="201" ht="15.75" customHeight="1" spans="1:10">
      <c r="A201" s="437" t="s">
        <v>145</v>
      </c>
      <c r="B201" s="158" t="s">
        <v>149</v>
      </c>
      <c r="C201" s="399" t="s">
        <v>46</v>
      </c>
      <c r="D201" s="367"/>
      <c r="E201" s="375"/>
      <c r="F201" s="399"/>
      <c r="G201" s="382"/>
      <c r="H201" s="375"/>
      <c r="I201" s="375"/>
      <c r="J201" s="422"/>
    </row>
    <row r="202" ht="15.75" customHeight="1" spans="1:10">
      <c r="A202" s="437" t="s">
        <v>145</v>
      </c>
      <c r="B202" s="158" t="s">
        <v>150</v>
      </c>
      <c r="C202" s="399" t="s">
        <v>46</v>
      </c>
      <c r="D202" s="367"/>
      <c r="E202" s="375"/>
      <c r="F202" s="399"/>
      <c r="G202" s="382"/>
      <c r="H202" s="375"/>
      <c r="I202" s="375"/>
      <c r="J202" s="422"/>
    </row>
    <row r="203" ht="15.75" customHeight="1" spans="1:10">
      <c r="A203" s="437" t="s">
        <v>145</v>
      </c>
      <c r="B203" s="158" t="s">
        <v>151</v>
      </c>
      <c r="C203" s="399" t="s">
        <v>46</v>
      </c>
      <c r="D203" s="367"/>
      <c r="E203" s="375"/>
      <c r="F203" s="399"/>
      <c r="G203" s="382"/>
      <c r="H203" s="375"/>
      <c r="I203" s="375"/>
      <c r="J203" s="422"/>
    </row>
    <row r="204" ht="15.75" customHeight="1" spans="1:10">
      <c r="A204" s="437" t="s">
        <v>145</v>
      </c>
      <c r="B204" s="158" t="s">
        <v>152</v>
      </c>
      <c r="C204" s="399" t="s">
        <v>46</v>
      </c>
      <c r="D204" s="367"/>
      <c r="E204" s="375"/>
      <c r="F204" s="399"/>
      <c r="G204" s="382"/>
      <c r="H204" s="375"/>
      <c r="I204" s="375"/>
      <c r="J204" s="422"/>
    </row>
    <row r="205" ht="15.75" customHeight="1" spans="1:10">
      <c r="A205" s="437" t="s">
        <v>145</v>
      </c>
      <c r="B205" s="158" t="s">
        <v>153</v>
      </c>
      <c r="C205" s="399" t="s">
        <v>46</v>
      </c>
      <c r="D205" s="367"/>
      <c r="E205" s="375"/>
      <c r="F205" s="399"/>
      <c r="G205" s="382"/>
      <c r="H205" s="375"/>
      <c r="I205" s="375"/>
      <c r="J205" s="422"/>
    </row>
    <row r="206" ht="15.75" customHeight="1" spans="1:10">
      <c r="A206" s="437" t="s">
        <v>145</v>
      </c>
      <c r="B206" s="158" t="s">
        <v>154</v>
      </c>
      <c r="C206" s="399" t="s">
        <v>46</v>
      </c>
      <c r="D206" s="367"/>
      <c r="E206" s="375"/>
      <c r="F206" s="399"/>
      <c r="G206" s="382"/>
      <c r="H206" s="375"/>
      <c r="I206" s="375"/>
      <c r="J206" s="422"/>
    </row>
    <row r="207" ht="15.75" customHeight="1" spans="1:10">
      <c r="A207" s="452" t="s">
        <v>145</v>
      </c>
      <c r="B207" s="453" t="s">
        <v>163</v>
      </c>
      <c r="C207" s="432" t="s">
        <v>22</v>
      </c>
      <c r="D207" s="367"/>
      <c r="E207" s="389"/>
      <c r="F207" s="404"/>
      <c r="G207" s="388"/>
      <c r="H207" s="389"/>
      <c r="I207" s="389"/>
      <c r="J207" s="423"/>
    </row>
  </sheetData>
  <autoFilter xmlns:etc="http://www.wps.cn/officeDocument/2017/etCustomData" ref="A5:J207" etc:filterBottomFollowUsedRange="0">
    <extLst/>
  </autoFilter>
  <mergeCells count="5">
    <mergeCell ref="B4:D4"/>
    <mergeCell ref="E4:G4"/>
    <mergeCell ref="H4:J4"/>
    <mergeCell ref="A4:A5"/>
    <mergeCell ref="A1:B2"/>
  </mergeCells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indexed="29"/>
  </sheetPr>
  <dimension ref="A1:P178"/>
  <sheetViews>
    <sheetView workbookViewId="0">
      <pane ySplit="3" topLeftCell="A76" activePane="bottomLeft" state="frozen"/>
      <selection/>
      <selection pane="bottomLeft" activeCell="Q9" sqref="Q9"/>
    </sheetView>
  </sheetViews>
  <sheetFormatPr defaultColWidth="9" defaultRowHeight="12.75"/>
  <cols>
    <col min="1" max="1" width="5.71428571428571" style="289" customWidth="1"/>
    <col min="2" max="2" width="32.1428571428571" style="289" customWidth="1"/>
    <col min="3" max="3" width="7.57142857142857" style="289" customWidth="1"/>
    <col min="4" max="4" width="7.14285714285714" style="290" customWidth="1"/>
    <col min="5" max="5" width="9.71428571428571" style="291" customWidth="1"/>
    <col min="6" max="6" width="5.71428571428571" style="289" customWidth="1"/>
    <col min="7" max="7" width="18" style="289" customWidth="1"/>
    <col min="8" max="8" width="9.14285714285714" style="289"/>
    <col min="9" max="9" width="5" style="290" customWidth="1"/>
    <col min="10" max="10" width="9.14285714285714" style="289"/>
    <col min="11" max="11" width="5" style="289" customWidth="1"/>
    <col min="12" max="12" width="15.4285714285714" style="289" customWidth="1"/>
    <col min="13" max="13" width="7.85714285714286" style="289" customWidth="1"/>
    <col min="14" max="14" width="6.14285714285714" style="290" customWidth="1"/>
    <col min="15" max="16384" width="9.14285714285714" style="289"/>
  </cols>
  <sheetData>
    <row r="1" ht="34.5" customHeight="1" spans="1:12">
      <c r="A1" s="292" t="s">
        <v>164</v>
      </c>
      <c r="B1" s="292"/>
      <c r="C1" s="292"/>
      <c r="D1" s="292"/>
      <c r="E1" s="292"/>
      <c r="F1" s="293"/>
      <c r="G1" s="294"/>
      <c r="K1" s="293"/>
      <c r="L1" s="294"/>
    </row>
    <row r="2" ht="24.75" customHeight="1" spans="1:15">
      <c r="A2" s="295" t="s">
        <v>165</v>
      </c>
      <c r="B2" s="296"/>
      <c r="C2" s="296"/>
      <c r="D2" s="296"/>
      <c r="E2" s="297"/>
      <c r="F2" s="295" t="s">
        <v>166</v>
      </c>
      <c r="G2" s="296"/>
      <c r="H2" s="296"/>
      <c r="I2" s="296"/>
      <c r="J2" s="296"/>
      <c r="K2" s="295" t="s">
        <v>167</v>
      </c>
      <c r="L2" s="296"/>
      <c r="M2" s="296"/>
      <c r="N2" s="296"/>
      <c r="O2" s="297"/>
    </row>
    <row r="3" s="288" customFormat="1" ht="30" customHeight="1" spans="1:16">
      <c r="A3" s="298" t="s">
        <v>168</v>
      </c>
      <c r="B3" s="298" t="s">
        <v>5</v>
      </c>
      <c r="C3" s="298" t="s">
        <v>169</v>
      </c>
      <c r="D3" s="298" t="s">
        <v>6</v>
      </c>
      <c r="E3" s="299" t="s">
        <v>170</v>
      </c>
      <c r="F3" s="298" t="s">
        <v>168</v>
      </c>
      <c r="G3" s="298" t="s">
        <v>5</v>
      </c>
      <c r="H3" s="298" t="s">
        <v>169</v>
      </c>
      <c r="I3" s="298" t="s">
        <v>6</v>
      </c>
      <c r="J3" s="298" t="s">
        <v>170</v>
      </c>
      <c r="K3" s="298" t="s">
        <v>168</v>
      </c>
      <c r="L3" s="298" t="s">
        <v>5</v>
      </c>
      <c r="M3" s="298" t="s">
        <v>169</v>
      </c>
      <c r="N3" s="298" t="s">
        <v>6</v>
      </c>
      <c r="O3" s="298" t="s">
        <v>170</v>
      </c>
      <c r="P3" s="324"/>
    </row>
    <row r="4" ht="20.25" customHeight="1" spans="1:15">
      <c r="A4" s="300">
        <v>1</v>
      </c>
      <c r="B4" s="301" t="s">
        <v>171</v>
      </c>
      <c r="C4" s="302" t="s">
        <v>172</v>
      </c>
      <c r="D4" s="303" t="s">
        <v>173</v>
      </c>
      <c r="E4" s="304">
        <v>254</v>
      </c>
      <c r="F4" s="305">
        <v>1</v>
      </c>
      <c r="G4" s="306" t="s">
        <v>74</v>
      </c>
      <c r="H4" s="302" t="s">
        <v>174</v>
      </c>
      <c r="I4" s="325" t="s">
        <v>175</v>
      </c>
      <c r="J4" s="326">
        <v>4000</v>
      </c>
      <c r="K4" s="305">
        <v>1</v>
      </c>
      <c r="L4" s="306" t="s">
        <v>176</v>
      </c>
      <c r="M4" s="302" t="s">
        <v>177</v>
      </c>
      <c r="N4" s="325" t="s">
        <v>175</v>
      </c>
      <c r="O4" s="327">
        <v>5000</v>
      </c>
    </row>
    <row r="5" ht="20.25" customHeight="1" spans="1:15">
      <c r="A5" s="307">
        <v>2</v>
      </c>
      <c r="B5" s="308" t="s">
        <v>178</v>
      </c>
      <c r="C5" s="302" t="s">
        <v>179</v>
      </c>
      <c r="D5" s="454" t="s">
        <v>180</v>
      </c>
      <c r="E5" s="310">
        <v>4180</v>
      </c>
      <c r="F5" s="311">
        <v>2</v>
      </c>
      <c r="G5" s="308" t="s">
        <v>181</v>
      </c>
      <c r="H5" s="302" t="s">
        <v>182</v>
      </c>
      <c r="I5" s="328" t="s">
        <v>175</v>
      </c>
      <c r="J5" s="326">
        <v>3500</v>
      </c>
      <c r="K5" s="311">
        <v>2</v>
      </c>
      <c r="L5" s="308" t="s">
        <v>183</v>
      </c>
      <c r="M5" s="302" t="s">
        <v>184</v>
      </c>
      <c r="N5" s="328" t="s">
        <v>175</v>
      </c>
      <c r="O5" s="327">
        <v>2500</v>
      </c>
    </row>
    <row r="6" ht="20.25" customHeight="1" spans="1:15">
      <c r="A6" s="300">
        <v>3</v>
      </c>
      <c r="B6" s="312" t="s">
        <v>185</v>
      </c>
      <c r="C6" s="302" t="s">
        <v>186</v>
      </c>
      <c r="D6" s="454" t="s">
        <v>187</v>
      </c>
      <c r="E6" s="313">
        <v>26</v>
      </c>
      <c r="F6" s="311">
        <v>3</v>
      </c>
      <c r="G6" s="308" t="s">
        <v>188</v>
      </c>
      <c r="H6" s="302" t="s">
        <v>189</v>
      </c>
      <c r="I6" s="328" t="s">
        <v>175</v>
      </c>
      <c r="J6" s="326">
        <v>3500</v>
      </c>
      <c r="K6" s="311">
        <v>3</v>
      </c>
      <c r="L6" s="317" t="s">
        <v>190</v>
      </c>
      <c r="M6" s="302" t="s">
        <v>191</v>
      </c>
      <c r="N6" s="328" t="s">
        <v>175</v>
      </c>
      <c r="O6" s="327">
        <v>3000</v>
      </c>
    </row>
    <row r="7" ht="20.25" customHeight="1" spans="1:15">
      <c r="A7" s="307">
        <v>4</v>
      </c>
      <c r="B7" s="312" t="s">
        <v>192</v>
      </c>
      <c r="C7" s="302" t="s">
        <v>193</v>
      </c>
      <c r="D7" s="454" t="s">
        <v>194</v>
      </c>
      <c r="E7" s="313">
        <v>75</v>
      </c>
      <c r="F7" s="311">
        <v>4</v>
      </c>
      <c r="G7" s="308" t="s">
        <v>195</v>
      </c>
      <c r="H7" s="302" t="s">
        <v>196</v>
      </c>
      <c r="I7" s="328" t="s">
        <v>175</v>
      </c>
      <c r="J7" s="326">
        <v>3500</v>
      </c>
      <c r="K7" s="307"/>
      <c r="L7" s="312"/>
      <c r="M7" s="329"/>
      <c r="N7" s="309"/>
      <c r="O7" s="330"/>
    </row>
    <row r="8" ht="20.25" customHeight="1" spans="1:15">
      <c r="A8" s="300">
        <v>5</v>
      </c>
      <c r="B8" s="308" t="s">
        <v>197</v>
      </c>
      <c r="C8" s="314" t="s">
        <v>198</v>
      </c>
      <c r="D8" s="315" t="s">
        <v>199</v>
      </c>
      <c r="E8" s="316">
        <v>560</v>
      </c>
      <c r="F8" s="311">
        <v>5</v>
      </c>
      <c r="G8" s="312" t="s">
        <v>200</v>
      </c>
      <c r="H8" s="302" t="s">
        <v>201</v>
      </c>
      <c r="I8" s="328" t="s">
        <v>175</v>
      </c>
      <c r="J8" s="326">
        <v>3500</v>
      </c>
      <c r="K8" s="307"/>
      <c r="L8" s="312"/>
      <c r="M8" s="329"/>
      <c r="N8" s="309"/>
      <c r="O8" s="330"/>
    </row>
    <row r="9" ht="20.25" customHeight="1" spans="1:16">
      <c r="A9" s="307">
        <v>6</v>
      </c>
      <c r="B9" s="312" t="s">
        <v>202</v>
      </c>
      <c r="C9" s="302" t="s">
        <v>203</v>
      </c>
      <c r="D9" s="309" t="s">
        <v>173</v>
      </c>
      <c r="E9" s="304">
        <v>80</v>
      </c>
      <c r="F9" s="311">
        <v>6</v>
      </c>
      <c r="G9" s="317" t="s">
        <v>204</v>
      </c>
      <c r="H9" s="302" t="s">
        <v>205</v>
      </c>
      <c r="I9" s="328" t="s">
        <v>175</v>
      </c>
      <c r="J9" s="326">
        <v>4000</v>
      </c>
      <c r="K9" s="307"/>
      <c r="L9" s="312"/>
      <c r="M9" s="329"/>
      <c r="N9" s="309"/>
      <c r="O9" s="331"/>
      <c r="P9" s="332"/>
    </row>
    <row r="10" ht="20.25" customHeight="1" spans="1:15">
      <c r="A10" s="300">
        <v>7</v>
      </c>
      <c r="B10" s="312" t="s">
        <v>206</v>
      </c>
      <c r="C10" s="302" t="s">
        <v>207</v>
      </c>
      <c r="D10" s="309" t="s">
        <v>199</v>
      </c>
      <c r="E10" s="313">
        <v>200</v>
      </c>
      <c r="F10" s="311">
        <v>7</v>
      </c>
      <c r="G10" s="308" t="s">
        <v>208</v>
      </c>
      <c r="H10" s="302" t="s">
        <v>209</v>
      </c>
      <c r="I10" s="328" t="s">
        <v>175</v>
      </c>
      <c r="J10" s="326">
        <v>2300</v>
      </c>
      <c r="K10" s="307"/>
      <c r="L10" s="312"/>
      <c r="M10" s="329"/>
      <c r="N10" s="309"/>
      <c r="O10" s="330"/>
    </row>
    <row r="11" ht="20.25" customHeight="1" spans="1:15">
      <c r="A11" s="307">
        <v>8</v>
      </c>
      <c r="B11" s="312" t="s">
        <v>210</v>
      </c>
      <c r="C11" s="302" t="s">
        <v>211</v>
      </c>
      <c r="D11" s="309" t="s">
        <v>212</v>
      </c>
      <c r="E11" s="304">
        <v>10</v>
      </c>
      <c r="F11" s="311">
        <v>8</v>
      </c>
      <c r="G11" s="308" t="s">
        <v>76</v>
      </c>
      <c r="H11" s="302" t="s">
        <v>213</v>
      </c>
      <c r="I11" s="328" t="s">
        <v>175</v>
      </c>
      <c r="J11" s="333">
        <v>3500</v>
      </c>
      <c r="K11" s="307"/>
      <c r="L11" s="312"/>
      <c r="M11" s="329"/>
      <c r="N11" s="309"/>
      <c r="O11" s="334"/>
    </row>
    <row r="12" ht="20.25" customHeight="1" spans="1:15">
      <c r="A12" s="300">
        <v>9</v>
      </c>
      <c r="B12" s="312" t="s">
        <v>214</v>
      </c>
      <c r="C12" s="302" t="s">
        <v>215</v>
      </c>
      <c r="D12" s="454" t="s">
        <v>216</v>
      </c>
      <c r="E12" s="304">
        <v>300</v>
      </c>
      <c r="F12" s="311">
        <v>9</v>
      </c>
      <c r="G12" s="308" t="s">
        <v>217</v>
      </c>
      <c r="H12" s="302" t="s">
        <v>218</v>
      </c>
      <c r="I12" s="328" t="s">
        <v>175</v>
      </c>
      <c r="J12" s="333">
        <v>3500</v>
      </c>
      <c r="K12" s="307"/>
      <c r="L12" s="312"/>
      <c r="M12" s="329"/>
      <c r="N12" s="309"/>
      <c r="O12" s="334"/>
    </row>
    <row r="13" ht="20.25" customHeight="1" spans="1:15">
      <c r="A13" s="307">
        <v>10</v>
      </c>
      <c r="B13" s="312" t="s">
        <v>219</v>
      </c>
      <c r="C13" s="302" t="s">
        <v>220</v>
      </c>
      <c r="D13" s="309" t="s">
        <v>194</v>
      </c>
      <c r="E13" s="304">
        <v>75</v>
      </c>
      <c r="F13" s="318">
        <v>10</v>
      </c>
      <c r="G13" s="319" t="s">
        <v>221</v>
      </c>
      <c r="H13" s="320" t="s">
        <v>222</v>
      </c>
      <c r="I13" s="335" t="s">
        <v>175</v>
      </c>
      <c r="J13" s="336">
        <v>2000</v>
      </c>
      <c r="K13" s="337"/>
      <c r="L13" s="319"/>
      <c r="M13" s="319"/>
      <c r="N13" s="338"/>
      <c r="O13" s="339"/>
    </row>
    <row r="14" ht="20.25" customHeight="1" spans="1:5">
      <c r="A14" s="300">
        <v>11</v>
      </c>
      <c r="B14" s="312" t="s">
        <v>223</v>
      </c>
      <c r="C14" s="302" t="s">
        <v>224</v>
      </c>
      <c r="D14" s="454" t="s">
        <v>194</v>
      </c>
      <c r="E14" s="313">
        <v>45</v>
      </c>
    </row>
    <row r="15" ht="21.75" customHeight="1" spans="1:5">
      <c r="A15" s="307">
        <v>12</v>
      </c>
      <c r="B15" s="312" t="s">
        <v>225</v>
      </c>
      <c r="C15" s="302" t="s">
        <v>226</v>
      </c>
      <c r="D15" s="309" t="s">
        <v>199</v>
      </c>
      <c r="E15" s="313">
        <v>50</v>
      </c>
    </row>
    <row r="16" ht="21.75" customHeight="1" spans="1:5">
      <c r="A16" s="300">
        <v>13</v>
      </c>
      <c r="B16" s="312" t="s">
        <v>227</v>
      </c>
      <c r="C16" s="302" t="s">
        <v>228</v>
      </c>
      <c r="D16" s="309" t="s">
        <v>229</v>
      </c>
      <c r="E16" s="313">
        <v>1</v>
      </c>
    </row>
    <row r="17" ht="21.75" customHeight="1" spans="1:5">
      <c r="A17" s="307">
        <v>14</v>
      </c>
      <c r="B17" s="312" t="s">
        <v>230</v>
      </c>
      <c r="C17" s="302" t="s">
        <v>231</v>
      </c>
      <c r="D17" s="309" t="s">
        <v>194</v>
      </c>
      <c r="E17" s="313">
        <v>2.5</v>
      </c>
    </row>
    <row r="18" ht="21.75" customHeight="1" spans="1:5">
      <c r="A18" s="300">
        <v>15</v>
      </c>
      <c r="B18" s="312" t="s">
        <v>232</v>
      </c>
      <c r="C18" s="302" t="s">
        <v>233</v>
      </c>
      <c r="D18" s="309" t="s">
        <v>194</v>
      </c>
      <c r="E18" s="313">
        <v>3.75</v>
      </c>
    </row>
    <row r="19" ht="21.75" customHeight="1" spans="1:5">
      <c r="A19" s="307">
        <v>16</v>
      </c>
      <c r="B19" s="312" t="s">
        <v>234</v>
      </c>
      <c r="C19" s="302" t="s">
        <v>235</v>
      </c>
      <c r="D19" s="454" t="s">
        <v>194</v>
      </c>
      <c r="E19" s="313">
        <v>1.3</v>
      </c>
    </row>
    <row r="20" ht="21.75" customHeight="1" spans="1:5">
      <c r="A20" s="300">
        <v>17</v>
      </c>
      <c r="B20" s="244" t="s">
        <v>236</v>
      </c>
      <c r="C20" s="302" t="s">
        <v>237</v>
      </c>
      <c r="D20" s="454" t="s">
        <v>194</v>
      </c>
      <c r="E20" s="313">
        <v>7</v>
      </c>
    </row>
    <row r="21" ht="21.75" customHeight="1" spans="1:5">
      <c r="A21" s="307">
        <v>18</v>
      </c>
      <c r="B21" s="312" t="s">
        <v>238</v>
      </c>
      <c r="C21" s="302" t="s">
        <v>239</v>
      </c>
      <c r="D21" s="309" t="s">
        <v>194</v>
      </c>
      <c r="E21" s="313">
        <v>7.5</v>
      </c>
    </row>
    <row r="22" ht="21.75" customHeight="1" spans="1:5">
      <c r="A22" s="300">
        <v>19</v>
      </c>
      <c r="B22" s="308" t="s">
        <v>68</v>
      </c>
      <c r="C22" s="302" t="s">
        <v>240</v>
      </c>
      <c r="D22" s="309" t="s">
        <v>194</v>
      </c>
      <c r="E22" s="321">
        <v>20</v>
      </c>
    </row>
    <row r="23" ht="21.75" customHeight="1" spans="1:5">
      <c r="A23" s="307">
        <v>20</v>
      </c>
      <c r="B23" s="308" t="s">
        <v>241</v>
      </c>
      <c r="C23" s="302" t="s">
        <v>242</v>
      </c>
      <c r="D23" s="454" t="s">
        <v>194</v>
      </c>
      <c r="E23" s="310">
        <v>1200</v>
      </c>
    </row>
    <row r="24" ht="21.75" customHeight="1" spans="1:5">
      <c r="A24" s="300">
        <v>21</v>
      </c>
      <c r="B24" s="308" t="s">
        <v>243</v>
      </c>
      <c r="C24" s="302" t="s">
        <v>244</v>
      </c>
      <c r="D24" s="454" t="s">
        <v>194</v>
      </c>
      <c r="E24" s="310">
        <v>2350</v>
      </c>
    </row>
    <row r="25" ht="21.75" customHeight="1" spans="1:5">
      <c r="A25" s="307">
        <v>22</v>
      </c>
      <c r="B25" s="308" t="s">
        <v>245</v>
      </c>
      <c r="C25" s="302" t="s">
        <v>246</v>
      </c>
      <c r="D25" s="454" t="s">
        <v>194</v>
      </c>
      <c r="E25" s="321">
        <v>900</v>
      </c>
    </row>
    <row r="26" ht="21.75" customHeight="1" spans="1:5">
      <c r="A26" s="300">
        <v>23</v>
      </c>
      <c r="B26" s="312" t="s">
        <v>247</v>
      </c>
      <c r="C26" s="302" t="s">
        <v>248</v>
      </c>
      <c r="D26" s="454" t="s">
        <v>194</v>
      </c>
      <c r="E26" s="313">
        <v>70</v>
      </c>
    </row>
    <row r="27" ht="21.75" customHeight="1" spans="1:5">
      <c r="A27" s="307">
        <v>24</v>
      </c>
      <c r="B27" s="312" t="s">
        <v>249</v>
      </c>
      <c r="C27" s="302" t="s">
        <v>250</v>
      </c>
      <c r="D27" s="454" t="s">
        <v>194</v>
      </c>
      <c r="E27" s="313">
        <v>55</v>
      </c>
    </row>
    <row r="28" ht="21.75" customHeight="1" spans="1:5">
      <c r="A28" s="300">
        <v>25</v>
      </c>
      <c r="B28" s="312" t="s">
        <v>251</v>
      </c>
      <c r="C28" s="302" t="s">
        <v>252</v>
      </c>
      <c r="D28" s="454" t="s">
        <v>194</v>
      </c>
      <c r="E28" s="313">
        <v>55</v>
      </c>
    </row>
    <row r="29" ht="20.1" customHeight="1" spans="1:5">
      <c r="A29" s="307">
        <v>26</v>
      </c>
      <c r="B29" s="308" t="s">
        <v>24</v>
      </c>
      <c r="C29" s="302" t="s">
        <v>253</v>
      </c>
      <c r="D29" s="309" t="s">
        <v>254</v>
      </c>
      <c r="E29" s="322">
        <v>2400</v>
      </c>
    </row>
    <row r="30" ht="20.1" customHeight="1" spans="1:5">
      <c r="A30" s="300">
        <v>27</v>
      </c>
      <c r="B30" s="312" t="s">
        <v>255</v>
      </c>
      <c r="C30" s="302" t="s">
        <v>256</v>
      </c>
      <c r="D30" s="454" t="s">
        <v>187</v>
      </c>
      <c r="E30" s="313">
        <v>25</v>
      </c>
    </row>
    <row r="31" ht="20.1" customHeight="1" spans="1:5">
      <c r="A31" s="307">
        <v>28</v>
      </c>
      <c r="B31" s="312" t="s">
        <v>257</v>
      </c>
      <c r="C31" s="302" t="s">
        <v>258</v>
      </c>
      <c r="D31" s="454" t="s">
        <v>194</v>
      </c>
      <c r="E31" s="304">
        <v>7</v>
      </c>
    </row>
    <row r="32" ht="20.1" customHeight="1" spans="1:5">
      <c r="A32" s="300">
        <v>29</v>
      </c>
      <c r="B32" s="312" t="s">
        <v>259</v>
      </c>
      <c r="C32" s="302" t="s">
        <v>260</v>
      </c>
      <c r="D32" s="309" t="s">
        <v>194</v>
      </c>
      <c r="E32" s="304">
        <v>10.5</v>
      </c>
    </row>
    <row r="33" ht="20.1" customHeight="1" spans="1:5">
      <c r="A33" s="307">
        <v>30</v>
      </c>
      <c r="B33" s="312" t="s">
        <v>261</v>
      </c>
      <c r="C33" s="302" t="s">
        <v>262</v>
      </c>
      <c r="D33" s="309" t="s">
        <v>194</v>
      </c>
      <c r="E33" s="304">
        <v>8.75</v>
      </c>
    </row>
    <row r="34" ht="20.1" customHeight="1" spans="1:5">
      <c r="A34" s="300">
        <v>31</v>
      </c>
      <c r="B34" s="312" t="s">
        <v>263</v>
      </c>
      <c r="C34" s="302" t="s">
        <v>264</v>
      </c>
      <c r="D34" s="309" t="s">
        <v>194</v>
      </c>
      <c r="E34" s="304">
        <v>10.75</v>
      </c>
    </row>
    <row r="35" ht="20.1" customHeight="1" spans="1:5">
      <c r="A35" s="307">
        <v>32</v>
      </c>
      <c r="B35" s="312" t="s">
        <v>265</v>
      </c>
      <c r="C35" s="302" t="s">
        <v>266</v>
      </c>
      <c r="D35" s="309" t="s">
        <v>194</v>
      </c>
      <c r="E35" s="304">
        <v>34</v>
      </c>
    </row>
    <row r="36" ht="20.1" customHeight="1" spans="1:5">
      <c r="A36" s="300">
        <v>33</v>
      </c>
      <c r="B36" s="312" t="s">
        <v>267</v>
      </c>
      <c r="C36" s="302" t="s">
        <v>268</v>
      </c>
      <c r="D36" s="309" t="s">
        <v>199</v>
      </c>
      <c r="E36" s="304">
        <v>25</v>
      </c>
    </row>
    <row r="37" ht="20.1" customHeight="1" spans="1:5">
      <c r="A37" s="307">
        <v>34</v>
      </c>
      <c r="B37" s="312" t="s">
        <v>269</v>
      </c>
      <c r="C37" s="302" t="s">
        <v>270</v>
      </c>
      <c r="D37" s="454" t="s">
        <v>194</v>
      </c>
      <c r="E37" s="304">
        <v>45</v>
      </c>
    </row>
    <row r="38" ht="20.1" customHeight="1" spans="1:5">
      <c r="A38" s="300">
        <v>35</v>
      </c>
      <c r="B38" s="312" t="s">
        <v>271</v>
      </c>
      <c r="C38" s="302" t="s">
        <v>272</v>
      </c>
      <c r="D38" s="454" t="s">
        <v>199</v>
      </c>
      <c r="E38" s="313">
        <v>175</v>
      </c>
    </row>
    <row r="39" ht="20.1" customHeight="1" spans="1:5">
      <c r="A39" s="307">
        <v>36</v>
      </c>
      <c r="B39" s="312" t="s">
        <v>273</v>
      </c>
      <c r="C39" s="302" t="s">
        <v>274</v>
      </c>
      <c r="D39" s="454" t="s">
        <v>199</v>
      </c>
      <c r="E39" s="313">
        <v>175</v>
      </c>
    </row>
    <row r="40" ht="20.1" customHeight="1" spans="1:5">
      <c r="A40" s="300">
        <v>37</v>
      </c>
      <c r="B40" s="312" t="s">
        <v>275</v>
      </c>
      <c r="C40" s="302" t="s">
        <v>276</v>
      </c>
      <c r="D40" s="309" t="s">
        <v>199</v>
      </c>
      <c r="E40" s="313">
        <v>12.5</v>
      </c>
    </row>
    <row r="41" ht="20.1" customHeight="1" spans="1:5">
      <c r="A41" s="307">
        <v>38</v>
      </c>
      <c r="B41" s="312" t="s">
        <v>277</v>
      </c>
      <c r="C41" s="302" t="s">
        <v>278</v>
      </c>
      <c r="D41" s="309" t="s">
        <v>199</v>
      </c>
      <c r="E41" s="313">
        <v>25</v>
      </c>
    </row>
    <row r="42" ht="20.1" customHeight="1" spans="1:5">
      <c r="A42" s="300">
        <v>39</v>
      </c>
      <c r="B42" s="308" t="s">
        <v>279</v>
      </c>
      <c r="C42" s="302" t="s">
        <v>280</v>
      </c>
      <c r="D42" s="309" t="s">
        <v>281</v>
      </c>
      <c r="E42" s="321">
        <v>340</v>
      </c>
    </row>
    <row r="43" ht="20.1" customHeight="1" spans="1:5">
      <c r="A43" s="307">
        <v>40</v>
      </c>
      <c r="B43" s="312" t="s">
        <v>282</v>
      </c>
      <c r="C43" s="302" t="s">
        <v>283</v>
      </c>
      <c r="D43" s="454" t="s">
        <v>194</v>
      </c>
      <c r="E43" s="313">
        <v>1850</v>
      </c>
    </row>
    <row r="44" ht="20.1" customHeight="1" spans="1:5">
      <c r="A44" s="300">
        <v>41</v>
      </c>
      <c r="B44" s="312" t="s">
        <v>284</v>
      </c>
      <c r="C44" s="302" t="s">
        <v>285</v>
      </c>
      <c r="D44" s="454" t="s">
        <v>194</v>
      </c>
      <c r="E44" s="313">
        <v>22.5</v>
      </c>
    </row>
    <row r="45" ht="20.1" customHeight="1" spans="1:5">
      <c r="A45" s="307">
        <v>42</v>
      </c>
      <c r="B45" s="308" t="s">
        <v>286</v>
      </c>
      <c r="C45" s="302" t="s">
        <v>287</v>
      </c>
      <c r="D45" s="309" t="s">
        <v>288</v>
      </c>
      <c r="E45" s="321">
        <v>5000</v>
      </c>
    </row>
    <row r="46" ht="20.1" customHeight="1" spans="1:5">
      <c r="A46" s="300">
        <v>43</v>
      </c>
      <c r="B46" s="308" t="s">
        <v>289</v>
      </c>
      <c r="C46" s="302" t="s">
        <v>290</v>
      </c>
      <c r="D46" s="454" t="s">
        <v>180</v>
      </c>
      <c r="E46" s="310">
        <v>2670</v>
      </c>
    </row>
    <row r="47" ht="20.1" customHeight="1" spans="1:5">
      <c r="A47" s="307">
        <v>44</v>
      </c>
      <c r="B47" s="308" t="s">
        <v>291</v>
      </c>
      <c r="C47" s="302" t="s">
        <v>292</v>
      </c>
      <c r="D47" s="454" t="s">
        <v>180</v>
      </c>
      <c r="E47" s="310">
        <v>1790</v>
      </c>
    </row>
    <row r="48" ht="20.1" customHeight="1" spans="1:5">
      <c r="A48" s="300">
        <v>45</v>
      </c>
      <c r="B48" s="312" t="s">
        <v>293</v>
      </c>
      <c r="C48" s="302" t="s">
        <v>294</v>
      </c>
      <c r="D48" s="309" t="s">
        <v>194</v>
      </c>
      <c r="E48" s="313">
        <v>1.5</v>
      </c>
    </row>
    <row r="49" ht="20.1" customHeight="1" spans="1:5">
      <c r="A49" s="307">
        <v>46</v>
      </c>
      <c r="B49" s="312" t="s">
        <v>295</v>
      </c>
      <c r="C49" s="302" t="s">
        <v>296</v>
      </c>
      <c r="D49" s="309" t="s">
        <v>199</v>
      </c>
      <c r="E49" s="313">
        <v>250</v>
      </c>
    </row>
    <row r="50" ht="20.1" customHeight="1" spans="1:5">
      <c r="A50" s="300">
        <v>47</v>
      </c>
      <c r="B50" s="312" t="s">
        <v>297</v>
      </c>
      <c r="C50" s="302" t="s">
        <v>298</v>
      </c>
      <c r="D50" s="309" t="s">
        <v>299</v>
      </c>
      <c r="E50" s="304">
        <v>70</v>
      </c>
    </row>
    <row r="51" ht="20.1" customHeight="1" spans="1:5">
      <c r="A51" s="307">
        <v>48</v>
      </c>
      <c r="B51" s="312" t="s">
        <v>300</v>
      </c>
      <c r="C51" s="302" t="s">
        <v>301</v>
      </c>
      <c r="D51" s="454" t="s">
        <v>187</v>
      </c>
      <c r="E51" s="313">
        <v>15</v>
      </c>
    </row>
    <row r="52" ht="20.1" customHeight="1" spans="1:5">
      <c r="A52" s="300">
        <v>49</v>
      </c>
      <c r="B52" s="312" t="s">
        <v>302</v>
      </c>
      <c r="C52" s="302" t="s">
        <v>303</v>
      </c>
      <c r="D52" s="309" t="s">
        <v>194</v>
      </c>
      <c r="E52" s="304">
        <v>210</v>
      </c>
    </row>
    <row r="53" ht="20.1" customHeight="1" spans="1:5">
      <c r="A53" s="307">
        <v>50</v>
      </c>
      <c r="B53" s="312" t="s">
        <v>304</v>
      </c>
      <c r="C53" s="302" t="s">
        <v>305</v>
      </c>
      <c r="D53" s="309" t="s">
        <v>281</v>
      </c>
      <c r="E53" s="313">
        <v>100</v>
      </c>
    </row>
    <row r="54" ht="22.5" customHeight="1" spans="1:5">
      <c r="A54" s="300">
        <v>51</v>
      </c>
      <c r="B54" s="312" t="s">
        <v>306</v>
      </c>
      <c r="C54" s="302" t="s">
        <v>307</v>
      </c>
      <c r="D54" s="309" t="s">
        <v>308</v>
      </c>
      <c r="E54" s="313">
        <v>10</v>
      </c>
    </row>
    <row r="55" ht="30" customHeight="1" spans="1:5">
      <c r="A55" s="307">
        <v>52</v>
      </c>
      <c r="B55" s="312" t="s">
        <v>309</v>
      </c>
      <c r="C55" s="302" t="s">
        <v>310</v>
      </c>
      <c r="D55" s="309" t="s">
        <v>194</v>
      </c>
      <c r="E55" s="313">
        <v>2200</v>
      </c>
    </row>
    <row r="56" ht="20.25" customHeight="1" spans="1:5">
      <c r="A56" s="300">
        <v>53</v>
      </c>
      <c r="B56" s="312" t="s">
        <v>311</v>
      </c>
      <c r="C56" s="302" t="s">
        <v>312</v>
      </c>
      <c r="D56" s="309" t="s">
        <v>288</v>
      </c>
      <c r="E56" s="313">
        <v>2000</v>
      </c>
    </row>
    <row r="57" ht="20.25" customHeight="1" spans="1:5">
      <c r="A57" s="307">
        <v>54</v>
      </c>
      <c r="B57" s="312" t="s">
        <v>313</v>
      </c>
      <c r="C57" s="302" t="s">
        <v>314</v>
      </c>
      <c r="D57" s="309" t="s">
        <v>194</v>
      </c>
      <c r="E57" s="313"/>
    </row>
    <row r="58" ht="20.25" customHeight="1" spans="1:5">
      <c r="A58" s="300">
        <v>55</v>
      </c>
      <c r="B58" s="312" t="s">
        <v>315</v>
      </c>
      <c r="C58" s="302" t="s">
        <v>316</v>
      </c>
      <c r="D58" s="309" t="s">
        <v>194</v>
      </c>
      <c r="E58" s="313"/>
    </row>
    <row r="59" ht="20.25" customHeight="1" spans="1:5">
      <c r="A59" s="307">
        <v>56</v>
      </c>
      <c r="B59" s="312" t="s">
        <v>317</v>
      </c>
      <c r="C59" s="302" t="s">
        <v>318</v>
      </c>
      <c r="D59" s="454" t="s">
        <v>194</v>
      </c>
      <c r="E59" s="313">
        <v>5</v>
      </c>
    </row>
    <row r="60" ht="20.1" customHeight="1" spans="1:5">
      <c r="A60" s="300">
        <v>57</v>
      </c>
      <c r="B60" s="312" t="s">
        <v>319</v>
      </c>
      <c r="C60" s="302" t="s">
        <v>320</v>
      </c>
      <c r="D60" s="454" t="s">
        <v>194</v>
      </c>
      <c r="E60" s="323">
        <v>180</v>
      </c>
    </row>
    <row r="61" ht="20.1" customHeight="1" spans="1:5">
      <c r="A61" s="307">
        <v>58</v>
      </c>
      <c r="B61" s="244" t="s">
        <v>321</v>
      </c>
      <c r="C61" s="302" t="s">
        <v>322</v>
      </c>
      <c r="D61" s="454" t="s">
        <v>194</v>
      </c>
      <c r="E61" s="323">
        <v>100</v>
      </c>
    </row>
    <row r="62" ht="20.1" customHeight="1" spans="1:5">
      <c r="A62" s="300">
        <v>59</v>
      </c>
      <c r="B62" s="312" t="s">
        <v>323</v>
      </c>
      <c r="C62" s="302" t="s">
        <v>324</v>
      </c>
      <c r="D62" s="454" t="s">
        <v>194</v>
      </c>
      <c r="E62" s="323">
        <v>160</v>
      </c>
    </row>
    <row r="63" ht="21" customHeight="1" spans="1:5">
      <c r="A63" s="307">
        <v>60</v>
      </c>
      <c r="B63" s="312" t="s">
        <v>325</v>
      </c>
      <c r="C63" s="302" t="s">
        <v>326</v>
      </c>
      <c r="D63" s="309" t="s">
        <v>327</v>
      </c>
      <c r="E63" s="304">
        <v>25</v>
      </c>
    </row>
    <row r="64" ht="21" customHeight="1" spans="1:5">
      <c r="A64" s="300">
        <v>61</v>
      </c>
      <c r="B64" s="312" t="s">
        <v>328</v>
      </c>
      <c r="C64" s="302" t="s">
        <v>329</v>
      </c>
      <c r="D64" s="454" t="s">
        <v>194</v>
      </c>
      <c r="E64" s="313">
        <v>0.55</v>
      </c>
    </row>
    <row r="65" ht="21" customHeight="1" spans="1:5">
      <c r="A65" s="307">
        <v>62</v>
      </c>
      <c r="B65" s="312" t="s">
        <v>330</v>
      </c>
      <c r="C65" s="302" t="s">
        <v>331</v>
      </c>
      <c r="D65" s="309" t="s">
        <v>199</v>
      </c>
      <c r="E65" s="304">
        <v>65</v>
      </c>
    </row>
    <row r="66" ht="21" customHeight="1" spans="1:5">
      <c r="A66" s="300">
        <v>63</v>
      </c>
      <c r="B66" s="312" t="s">
        <v>332</v>
      </c>
      <c r="C66" s="302" t="s">
        <v>333</v>
      </c>
      <c r="D66" s="309" t="s">
        <v>187</v>
      </c>
      <c r="E66" s="313">
        <v>3.5</v>
      </c>
    </row>
    <row r="67" ht="21" customHeight="1" spans="1:5">
      <c r="A67" s="307">
        <v>64</v>
      </c>
      <c r="B67" s="308" t="s">
        <v>334</v>
      </c>
      <c r="C67" s="302" t="s">
        <v>335</v>
      </c>
      <c r="D67" s="309" t="s">
        <v>288</v>
      </c>
      <c r="E67" s="321">
        <v>12000</v>
      </c>
    </row>
    <row r="68" ht="21" customHeight="1" spans="1:5">
      <c r="A68" s="300">
        <v>65</v>
      </c>
      <c r="B68" s="308" t="s">
        <v>336</v>
      </c>
      <c r="C68" s="302" t="s">
        <v>337</v>
      </c>
      <c r="D68" s="309" t="s">
        <v>288</v>
      </c>
      <c r="E68" s="321">
        <v>9000</v>
      </c>
    </row>
    <row r="69" ht="21" customHeight="1" spans="1:5">
      <c r="A69" s="307">
        <v>66</v>
      </c>
      <c r="B69" s="308" t="s">
        <v>338</v>
      </c>
      <c r="C69" s="302" t="s">
        <v>339</v>
      </c>
      <c r="D69" s="309" t="s">
        <v>288</v>
      </c>
      <c r="E69" s="321">
        <v>15000</v>
      </c>
    </row>
    <row r="70" ht="27.75" customHeight="1" spans="1:5">
      <c r="A70" s="300">
        <v>67</v>
      </c>
      <c r="B70" s="312" t="s">
        <v>340</v>
      </c>
      <c r="C70" s="302" t="s">
        <v>341</v>
      </c>
      <c r="D70" s="454" t="s">
        <v>194</v>
      </c>
      <c r="E70" s="304">
        <v>6</v>
      </c>
    </row>
    <row r="71" ht="28.5" customHeight="1" spans="1:5">
      <c r="A71" s="307">
        <v>68</v>
      </c>
      <c r="B71" s="312" t="s">
        <v>342</v>
      </c>
      <c r="C71" s="302" t="s">
        <v>343</v>
      </c>
      <c r="D71" s="309" t="s">
        <v>327</v>
      </c>
      <c r="E71" s="313">
        <v>68</v>
      </c>
    </row>
    <row r="72" ht="21" customHeight="1" spans="1:5">
      <c r="A72" s="300">
        <v>69</v>
      </c>
      <c r="B72" s="312" t="s">
        <v>344</v>
      </c>
      <c r="C72" s="302" t="s">
        <v>345</v>
      </c>
      <c r="D72" s="309" t="s">
        <v>180</v>
      </c>
      <c r="E72" s="313">
        <v>80</v>
      </c>
    </row>
    <row r="73" ht="21" customHeight="1" spans="1:5">
      <c r="A73" s="307">
        <v>70</v>
      </c>
      <c r="B73" s="312" t="s">
        <v>346</v>
      </c>
      <c r="C73" s="302" t="s">
        <v>347</v>
      </c>
      <c r="D73" s="454" t="s">
        <v>194</v>
      </c>
      <c r="E73" s="313">
        <v>960</v>
      </c>
    </row>
    <row r="74" ht="21" customHeight="1" spans="1:5">
      <c r="A74" s="300">
        <v>71</v>
      </c>
      <c r="B74" s="312" t="s">
        <v>348</v>
      </c>
      <c r="C74" s="302" t="s">
        <v>349</v>
      </c>
      <c r="D74" s="309" t="s">
        <v>180</v>
      </c>
      <c r="E74" s="313">
        <v>35</v>
      </c>
    </row>
    <row r="75" ht="21" customHeight="1" spans="1:5">
      <c r="A75" s="307">
        <v>72</v>
      </c>
      <c r="B75" s="312" t="s">
        <v>350</v>
      </c>
      <c r="C75" s="302" t="s">
        <v>351</v>
      </c>
      <c r="D75" s="454" t="s">
        <v>199</v>
      </c>
      <c r="E75" s="313">
        <v>50</v>
      </c>
    </row>
    <row r="76" ht="21" customHeight="1" spans="1:5">
      <c r="A76" s="300">
        <v>73</v>
      </c>
      <c r="B76" s="312" t="s">
        <v>352</v>
      </c>
      <c r="C76" s="302" t="s">
        <v>353</v>
      </c>
      <c r="D76" s="309" t="s">
        <v>199</v>
      </c>
      <c r="E76" s="313">
        <v>20</v>
      </c>
    </row>
    <row r="77" ht="21" customHeight="1" spans="1:5">
      <c r="A77" s="307">
        <v>74</v>
      </c>
      <c r="B77" s="244" t="s">
        <v>354</v>
      </c>
      <c r="C77" s="302" t="s">
        <v>355</v>
      </c>
      <c r="D77" s="454" t="s">
        <v>194</v>
      </c>
      <c r="E77" s="313">
        <v>3900</v>
      </c>
    </row>
    <row r="78" ht="21" customHeight="1" spans="1:5">
      <c r="A78" s="300">
        <v>75</v>
      </c>
      <c r="B78" s="308" t="s">
        <v>356</v>
      </c>
      <c r="C78" s="302" t="s">
        <v>357</v>
      </c>
      <c r="D78" s="454" t="s">
        <v>180</v>
      </c>
      <c r="E78" s="310">
        <v>805</v>
      </c>
    </row>
    <row r="79" ht="13.5" spans="1:5">
      <c r="A79" s="307">
        <v>76</v>
      </c>
      <c r="B79" s="244" t="s">
        <v>358</v>
      </c>
      <c r="C79" s="302" t="s">
        <v>359</v>
      </c>
      <c r="D79" s="454" t="s">
        <v>194</v>
      </c>
      <c r="E79" s="304">
        <v>30</v>
      </c>
    </row>
    <row r="80" ht="21" customHeight="1" spans="1:5">
      <c r="A80" s="300">
        <v>77</v>
      </c>
      <c r="B80" s="312" t="s">
        <v>360</v>
      </c>
      <c r="C80" s="302" t="s">
        <v>361</v>
      </c>
      <c r="D80" s="309" t="s">
        <v>194</v>
      </c>
      <c r="E80" s="304">
        <v>14</v>
      </c>
    </row>
    <row r="81" ht="21" customHeight="1" spans="1:5">
      <c r="A81" s="307">
        <v>78</v>
      </c>
      <c r="B81" s="312" t="s">
        <v>362</v>
      </c>
      <c r="C81" s="302" t="s">
        <v>363</v>
      </c>
      <c r="D81" s="309" t="s">
        <v>194</v>
      </c>
      <c r="E81" s="304"/>
    </row>
    <row r="82" ht="20.25" customHeight="1" spans="1:5">
      <c r="A82" s="300">
        <v>79</v>
      </c>
      <c r="B82" s="312" t="s">
        <v>364</v>
      </c>
      <c r="C82" s="302" t="s">
        <v>365</v>
      </c>
      <c r="D82" s="309" t="s">
        <v>194</v>
      </c>
      <c r="E82" s="304"/>
    </row>
    <row r="83" ht="23.25" customHeight="1" spans="1:5">
      <c r="A83" s="307">
        <v>80</v>
      </c>
      <c r="B83" s="312" t="s">
        <v>366</v>
      </c>
      <c r="C83" s="302" t="s">
        <v>367</v>
      </c>
      <c r="D83" s="454" t="s">
        <v>194</v>
      </c>
      <c r="E83" s="304">
        <v>69</v>
      </c>
    </row>
    <row r="84" ht="19.5" customHeight="1" spans="1:5">
      <c r="A84" s="300">
        <v>81</v>
      </c>
      <c r="B84" s="312" t="s">
        <v>368</v>
      </c>
      <c r="C84" s="302" t="s">
        <v>369</v>
      </c>
      <c r="D84" s="454" t="s">
        <v>194</v>
      </c>
      <c r="E84" s="304">
        <v>42</v>
      </c>
    </row>
    <row r="85" ht="21" customHeight="1" spans="1:5">
      <c r="A85" s="307">
        <v>82</v>
      </c>
      <c r="B85" s="308" t="s">
        <v>370</v>
      </c>
      <c r="C85" s="302" t="s">
        <v>371</v>
      </c>
      <c r="D85" s="454" t="s">
        <v>194</v>
      </c>
      <c r="E85" s="310">
        <v>90</v>
      </c>
    </row>
    <row r="86" ht="26.25" customHeight="1" spans="1:5">
      <c r="A86" s="300">
        <v>83</v>
      </c>
      <c r="B86" s="308" t="s">
        <v>372</v>
      </c>
      <c r="C86" s="302" t="s">
        <v>373</v>
      </c>
      <c r="D86" s="454" t="s">
        <v>194</v>
      </c>
      <c r="E86" s="310">
        <v>50</v>
      </c>
    </row>
    <row r="87" ht="18" customHeight="1" spans="1:5">
      <c r="A87" s="307">
        <v>84</v>
      </c>
      <c r="B87" s="312" t="s">
        <v>374</v>
      </c>
      <c r="C87" s="302" t="s">
        <v>375</v>
      </c>
      <c r="D87" s="454" t="s">
        <v>194</v>
      </c>
      <c r="E87" s="304">
        <v>350</v>
      </c>
    </row>
    <row r="88" ht="20.1" customHeight="1" spans="1:5">
      <c r="A88" s="300">
        <v>85</v>
      </c>
      <c r="B88" s="308" t="s">
        <v>376</v>
      </c>
      <c r="C88" s="302" t="s">
        <v>377</v>
      </c>
      <c r="D88" s="454" t="s">
        <v>194</v>
      </c>
      <c r="E88" s="310">
        <v>320</v>
      </c>
    </row>
    <row r="89" ht="20.1" customHeight="1" spans="1:5">
      <c r="A89" s="307">
        <v>86</v>
      </c>
      <c r="B89" s="312" t="s">
        <v>378</v>
      </c>
      <c r="C89" s="302" t="s">
        <v>379</v>
      </c>
      <c r="D89" s="454" t="s">
        <v>194</v>
      </c>
      <c r="E89" s="304">
        <v>580</v>
      </c>
    </row>
    <row r="90" ht="20.1" customHeight="1" spans="1:5">
      <c r="A90" s="300">
        <v>87</v>
      </c>
      <c r="B90" s="312" t="s">
        <v>380</v>
      </c>
      <c r="C90" s="302" t="s">
        <v>381</v>
      </c>
      <c r="D90" s="309" t="s">
        <v>194</v>
      </c>
      <c r="E90" s="304"/>
    </row>
    <row r="91" ht="20.1" customHeight="1" spans="1:5">
      <c r="A91" s="307">
        <v>88</v>
      </c>
      <c r="B91" s="312" t="s">
        <v>382</v>
      </c>
      <c r="C91" s="302" t="s">
        <v>383</v>
      </c>
      <c r="D91" s="309" t="s">
        <v>194</v>
      </c>
      <c r="E91" s="304"/>
    </row>
    <row r="92" ht="20.1" customHeight="1" spans="1:5">
      <c r="A92" s="300">
        <v>89</v>
      </c>
      <c r="B92" s="312" t="s">
        <v>384</v>
      </c>
      <c r="C92" s="302" t="s">
        <v>385</v>
      </c>
      <c r="D92" s="309" t="s">
        <v>194</v>
      </c>
      <c r="E92" s="304"/>
    </row>
    <row r="93" ht="20.1" customHeight="1" spans="1:5">
      <c r="A93" s="307">
        <v>90</v>
      </c>
      <c r="B93" s="312" t="s">
        <v>386</v>
      </c>
      <c r="C93" s="302" t="s">
        <v>387</v>
      </c>
      <c r="D93" s="309" t="s">
        <v>194</v>
      </c>
      <c r="E93" s="304"/>
    </row>
    <row r="94" ht="20.1" customHeight="1" spans="1:5">
      <c r="A94" s="300">
        <v>91</v>
      </c>
      <c r="B94" s="312" t="s">
        <v>388</v>
      </c>
      <c r="C94" s="302" t="s">
        <v>389</v>
      </c>
      <c r="D94" s="309" t="s">
        <v>194</v>
      </c>
      <c r="E94" s="304"/>
    </row>
    <row r="95" ht="20.1" customHeight="1" spans="1:5">
      <c r="A95" s="307">
        <v>92</v>
      </c>
      <c r="B95" s="312" t="s">
        <v>390</v>
      </c>
      <c r="C95" s="302" t="s">
        <v>391</v>
      </c>
      <c r="D95" s="454" t="s">
        <v>308</v>
      </c>
      <c r="E95" s="304">
        <v>46</v>
      </c>
    </row>
    <row r="96" ht="20.1" customHeight="1" spans="1:5">
      <c r="A96" s="300">
        <v>93</v>
      </c>
      <c r="B96" s="312" t="s">
        <v>392</v>
      </c>
      <c r="C96" s="302" t="s">
        <v>393</v>
      </c>
      <c r="D96" s="454" t="s">
        <v>308</v>
      </c>
      <c r="E96" s="304">
        <v>32</v>
      </c>
    </row>
    <row r="97" ht="20.1" customHeight="1" spans="1:5">
      <c r="A97" s="307">
        <v>94</v>
      </c>
      <c r="B97" s="312" t="s">
        <v>394</v>
      </c>
      <c r="C97" s="302" t="s">
        <v>395</v>
      </c>
      <c r="D97" s="454" t="s">
        <v>308</v>
      </c>
      <c r="E97" s="304">
        <v>21</v>
      </c>
    </row>
    <row r="98" ht="20.1" customHeight="1" spans="1:5">
      <c r="A98" s="300">
        <v>95</v>
      </c>
      <c r="B98" s="312" t="s">
        <v>396</v>
      </c>
      <c r="C98" s="302" t="s">
        <v>397</v>
      </c>
      <c r="D98" s="454" t="s">
        <v>308</v>
      </c>
      <c r="E98" s="304">
        <v>7.5</v>
      </c>
    </row>
    <row r="99" ht="20.1" customHeight="1" spans="1:5">
      <c r="A99" s="307">
        <v>96</v>
      </c>
      <c r="B99" s="312" t="s">
        <v>398</v>
      </c>
      <c r="C99" s="302" t="s">
        <v>399</v>
      </c>
      <c r="D99" s="454" t="s">
        <v>308</v>
      </c>
      <c r="E99" s="313">
        <v>79</v>
      </c>
    </row>
    <row r="100" ht="20.1" customHeight="1" spans="1:5">
      <c r="A100" s="300">
        <v>97</v>
      </c>
      <c r="B100" s="312" t="s">
        <v>400</v>
      </c>
      <c r="C100" s="302" t="s">
        <v>401</v>
      </c>
      <c r="D100" s="454" t="s">
        <v>308</v>
      </c>
      <c r="E100" s="313">
        <v>185</v>
      </c>
    </row>
    <row r="101" ht="20.1" customHeight="1" spans="1:5">
      <c r="A101" s="307">
        <v>98</v>
      </c>
      <c r="B101" s="312" t="s">
        <v>402</v>
      </c>
      <c r="C101" s="302" t="s">
        <v>403</v>
      </c>
      <c r="D101" s="454" t="s">
        <v>308</v>
      </c>
      <c r="E101" s="313">
        <v>14</v>
      </c>
    </row>
    <row r="102" ht="20.1" customHeight="1" spans="1:5">
      <c r="A102" s="300">
        <v>99</v>
      </c>
      <c r="B102" s="312" t="s">
        <v>404</v>
      </c>
      <c r="C102" s="302" t="s">
        <v>405</v>
      </c>
      <c r="D102" s="309" t="s">
        <v>194</v>
      </c>
      <c r="E102" s="304"/>
    </row>
    <row r="103" ht="20.1" customHeight="1" spans="1:5">
      <c r="A103" s="307">
        <v>100</v>
      </c>
      <c r="B103" s="308" t="s">
        <v>406</v>
      </c>
      <c r="C103" s="302" t="s">
        <v>407</v>
      </c>
      <c r="D103" s="309" t="s">
        <v>194</v>
      </c>
      <c r="E103" s="304">
        <v>160</v>
      </c>
    </row>
    <row r="104" ht="20.1" customHeight="1" spans="1:5">
      <c r="A104" s="300">
        <v>101</v>
      </c>
      <c r="B104" s="312" t="s">
        <v>408</v>
      </c>
      <c r="C104" s="302" t="s">
        <v>409</v>
      </c>
      <c r="D104" s="309" t="s">
        <v>194</v>
      </c>
      <c r="E104" s="313">
        <v>19.5</v>
      </c>
    </row>
    <row r="105" ht="20.1" customHeight="1" spans="1:5">
      <c r="A105" s="307">
        <v>102</v>
      </c>
      <c r="B105" s="312" t="s">
        <v>410</v>
      </c>
      <c r="C105" s="302" t="s">
        <v>411</v>
      </c>
      <c r="D105" s="309" t="s">
        <v>194</v>
      </c>
      <c r="E105" s="313">
        <v>48</v>
      </c>
    </row>
    <row r="106" ht="20.1" customHeight="1" spans="1:5">
      <c r="A106" s="300">
        <v>103</v>
      </c>
      <c r="B106" s="312" t="s">
        <v>412</v>
      </c>
      <c r="C106" s="302" t="s">
        <v>413</v>
      </c>
      <c r="D106" s="309" t="s">
        <v>194</v>
      </c>
      <c r="E106" s="304">
        <v>192</v>
      </c>
    </row>
    <row r="107" ht="20.1" customHeight="1" spans="1:5">
      <c r="A107" s="307">
        <v>104</v>
      </c>
      <c r="B107" s="312" t="s">
        <v>414</v>
      </c>
      <c r="C107" s="302" t="s">
        <v>415</v>
      </c>
      <c r="D107" s="309" t="s">
        <v>194</v>
      </c>
      <c r="E107" s="313"/>
    </row>
    <row r="108" ht="20.1" customHeight="1" spans="1:5">
      <c r="A108" s="300">
        <v>105</v>
      </c>
      <c r="B108" s="312" t="s">
        <v>416</v>
      </c>
      <c r="C108" s="302" t="s">
        <v>417</v>
      </c>
      <c r="D108" s="454" t="s">
        <v>194</v>
      </c>
      <c r="E108" s="304">
        <v>35</v>
      </c>
    </row>
    <row r="109" ht="20.1" customHeight="1" spans="1:5">
      <c r="A109" s="307">
        <v>106</v>
      </c>
      <c r="B109" s="312" t="s">
        <v>418</v>
      </c>
      <c r="C109" s="302" t="s">
        <v>419</v>
      </c>
      <c r="D109" s="454" t="s">
        <v>420</v>
      </c>
      <c r="E109" s="313">
        <v>245</v>
      </c>
    </row>
    <row r="110" ht="20.1" customHeight="1" spans="1:5">
      <c r="A110" s="300">
        <v>107</v>
      </c>
      <c r="B110" s="312" t="s">
        <v>421</v>
      </c>
      <c r="C110" s="302" t="s">
        <v>422</v>
      </c>
      <c r="D110" s="309" t="s">
        <v>194</v>
      </c>
      <c r="E110" s="313">
        <v>500</v>
      </c>
    </row>
    <row r="111" ht="20.1" customHeight="1" spans="1:5">
      <c r="A111" s="307">
        <v>108</v>
      </c>
      <c r="B111" s="312" t="s">
        <v>423</v>
      </c>
      <c r="C111" s="302" t="s">
        <v>424</v>
      </c>
      <c r="D111" s="309" t="s">
        <v>194</v>
      </c>
      <c r="E111" s="304">
        <v>16</v>
      </c>
    </row>
    <row r="112" ht="20.1" customHeight="1" spans="1:5">
      <c r="A112" s="300">
        <v>109</v>
      </c>
      <c r="B112" s="312" t="s">
        <v>425</v>
      </c>
      <c r="C112" s="302" t="s">
        <v>426</v>
      </c>
      <c r="D112" s="454" t="s">
        <v>194</v>
      </c>
      <c r="E112" s="313">
        <v>3.5</v>
      </c>
    </row>
    <row r="113" ht="20.1" customHeight="1" spans="1:5">
      <c r="A113" s="307">
        <v>110</v>
      </c>
      <c r="B113" s="312" t="s">
        <v>427</v>
      </c>
      <c r="C113" s="302" t="s">
        <v>428</v>
      </c>
      <c r="D113" s="454" t="s">
        <v>194</v>
      </c>
      <c r="E113" s="313">
        <v>3.5</v>
      </c>
    </row>
    <row r="114" ht="20.1" customHeight="1" spans="1:5">
      <c r="A114" s="300">
        <v>111</v>
      </c>
      <c r="B114" s="308" t="s">
        <v>429</v>
      </c>
      <c r="C114" s="302" t="s">
        <v>430</v>
      </c>
      <c r="D114" s="309" t="s">
        <v>288</v>
      </c>
      <c r="E114" s="310">
        <v>9000</v>
      </c>
    </row>
    <row r="115" ht="20.1" customHeight="1" spans="1:5">
      <c r="A115" s="307">
        <v>112</v>
      </c>
      <c r="B115" s="312" t="s">
        <v>431</v>
      </c>
      <c r="C115" s="302" t="s">
        <v>432</v>
      </c>
      <c r="D115" s="454" t="s">
        <v>199</v>
      </c>
      <c r="E115" s="304">
        <v>10</v>
      </c>
    </row>
    <row r="116" ht="20.1" customHeight="1" spans="1:5">
      <c r="A116" s="300">
        <v>113</v>
      </c>
      <c r="B116" s="308" t="s">
        <v>28</v>
      </c>
      <c r="C116" s="302" t="s">
        <v>433</v>
      </c>
      <c r="D116" s="309" t="s">
        <v>288</v>
      </c>
      <c r="E116" s="340">
        <v>18000</v>
      </c>
    </row>
    <row r="117" ht="20.1" customHeight="1" spans="1:5">
      <c r="A117" s="307">
        <v>114</v>
      </c>
      <c r="B117" s="308" t="s">
        <v>434</v>
      </c>
      <c r="C117" s="302" t="s">
        <v>435</v>
      </c>
      <c r="D117" s="309" t="s">
        <v>194</v>
      </c>
      <c r="E117" s="310">
        <v>250</v>
      </c>
    </row>
    <row r="118" ht="20.1" customHeight="1" spans="1:5">
      <c r="A118" s="300">
        <v>115</v>
      </c>
      <c r="B118" s="312" t="s">
        <v>436</v>
      </c>
      <c r="C118" s="302" t="s">
        <v>437</v>
      </c>
      <c r="D118" s="454" t="s">
        <v>199</v>
      </c>
      <c r="E118" s="304">
        <v>275</v>
      </c>
    </row>
    <row r="119" ht="20.1" customHeight="1" spans="1:5">
      <c r="A119" s="307">
        <v>116</v>
      </c>
      <c r="B119" s="312" t="s">
        <v>438</v>
      </c>
      <c r="C119" s="302" t="s">
        <v>439</v>
      </c>
      <c r="D119" s="309" t="s">
        <v>199</v>
      </c>
      <c r="E119" s="304">
        <v>13.75</v>
      </c>
    </row>
    <row r="120" ht="20.1" customHeight="1" spans="1:5">
      <c r="A120" s="300">
        <v>117</v>
      </c>
      <c r="B120" s="312" t="s">
        <v>440</v>
      </c>
      <c r="C120" s="302" t="s">
        <v>441</v>
      </c>
      <c r="D120" s="309" t="s">
        <v>442</v>
      </c>
      <c r="E120" s="304">
        <v>1.4</v>
      </c>
    </row>
    <row r="121" ht="20.1" customHeight="1" spans="1:5">
      <c r="A121" s="307">
        <v>118</v>
      </c>
      <c r="B121" s="312" t="s">
        <v>443</v>
      </c>
      <c r="C121" s="302" t="s">
        <v>444</v>
      </c>
      <c r="D121" s="454" t="s">
        <v>194</v>
      </c>
      <c r="E121" s="304">
        <v>15</v>
      </c>
    </row>
    <row r="122" ht="20.1" customHeight="1" spans="1:5">
      <c r="A122" s="300">
        <v>119</v>
      </c>
      <c r="B122" s="312" t="s">
        <v>445</v>
      </c>
      <c r="C122" s="302" t="s">
        <v>446</v>
      </c>
      <c r="D122" s="454" t="s">
        <v>173</v>
      </c>
      <c r="E122" s="313">
        <v>450</v>
      </c>
    </row>
    <row r="123" ht="20.1" customHeight="1" spans="1:5">
      <c r="A123" s="307">
        <v>120</v>
      </c>
      <c r="B123" s="312" t="s">
        <v>447</v>
      </c>
      <c r="C123" s="302" t="s">
        <v>448</v>
      </c>
      <c r="D123" s="454" t="s">
        <v>194</v>
      </c>
      <c r="E123" s="313">
        <v>31.25</v>
      </c>
    </row>
    <row r="124" ht="20.1" customHeight="1" spans="1:5">
      <c r="A124" s="300">
        <v>121</v>
      </c>
      <c r="B124" s="312" t="s">
        <v>449</v>
      </c>
      <c r="C124" s="302" t="s">
        <v>450</v>
      </c>
      <c r="D124" s="454" t="s">
        <v>194</v>
      </c>
      <c r="E124" s="313">
        <v>102</v>
      </c>
    </row>
    <row r="125" ht="20.1" customHeight="1" spans="1:5">
      <c r="A125" s="307">
        <v>122</v>
      </c>
      <c r="B125" s="312" t="s">
        <v>451</v>
      </c>
      <c r="C125" s="302" t="s">
        <v>452</v>
      </c>
      <c r="D125" s="454" t="s">
        <v>194</v>
      </c>
      <c r="E125" s="313">
        <v>15.5</v>
      </c>
    </row>
    <row r="126" ht="20.1" customHeight="1" spans="1:5">
      <c r="A126" s="300">
        <v>123</v>
      </c>
      <c r="B126" s="312" t="s">
        <v>453</v>
      </c>
      <c r="C126" s="302" t="s">
        <v>454</v>
      </c>
      <c r="D126" s="454" t="s">
        <v>194</v>
      </c>
      <c r="E126" s="313">
        <v>165.5</v>
      </c>
    </row>
    <row r="127" ht="20.1" customHeight="1" spans="1:5">
      <c r="A127" s="307">
        <v>124</v>
      </c>
      <c r="B127" s="312" t="s">
        <v>455</v>
      </c>
      <c r="C127" s="302" t="s">
        <v>456</v>
      </c>
      <c r="D127" s="454" t="s">
        <v>194</v>
      </c>
      <c r="E127" s="304">
        <v>526</v>
      </c>
    </row>
    <row r="128" ht="20.1" customHeight="1" spans="1:5">
      <c r="A128" s="300">
        <v>125</v>
      </c>
      <c r="B128" s="312" t="s">
        <v>457</v>
      </c>
      <c r="C128" s="302" t="s">
        <v>458</v>
      </c>
      <c r="D128" s="454" t="s">
        <v>194</v>
      </c>
      <c r="E128" s="313">
        <v>875</v>
      </c>
    </row>
    <row r="129" ht="20.1" customHeight="1" spans="1:5">
      <c r="A129" s="307">
        <v>126</v>
      </c>
      <c r="B129" s="312" t="s">
        <v>459</v>
      </c>
      <c r="C129" s="302" t="s">
        <v>460</v>
      </c>
      <c r="D129" s="454" t="s">
        <v>194</v>
      </c>
      <c r="E129" s="304">
        <v>21.5</v>
      </c>
    </row>
    <row r="130" ht="20.1" customHeight="1" spans="1:5">
      <c r="A130" s="300">
        <v>127</v>
      </c>
      <c r="B130" s="312" t="s">
        <v>461</v>
      </c>
      <c r="C130" s="302" t="s">
        <v>462</v>
      </c>
      <c r="D130" s="454" t="s">
        <v>194</v>
      </c>
      <c r="E130" s="313">
        <v>63.5</v>
      </c>
    </row>
    <row r="131" ht="20.1" customHeight="1" spans="1:5">
      <c r="A131" s="307">
        <v>128</v>
      </c>
      <c r="B131" s="312" t="s">
        <v>463</v>
      </c>
      <c r="C131" s="302" t="s">
        <v>464</v>
      </c>
      <c r="D131" s="454" t="s">
        <v>420</v>
      </c>
      <c r="E131" s="313">
        <v>165</v>
      </c>
    </row>
    <row r="132" ht="20.1" customHeight="1" spans="1:5">
      <c r="A132" s="300">
        <v>129</v>
      </c>
      <c r="B132" s="312" t="s">
        <v>465</v>
      </c>
      <c r="C132" s="302" t="s">
        <v>466</v>
      </c>
      <c r="D132" s="454" t="s">
        <v>194</v>
      </c>
      <c r="E132" s="313">
        <v>180</v>
      </c>
    </row>
    <row r="133" ht="20.1" customHeight="1" spans="1:5">
      <c r="A133" s="307">
        <v>130</v>
      </c>
      <c r="B133" s="312" t="s">
        <v>467</v>
      </c>
      <c r="C133" s="302" t="s">
        <v>468</v>
      </c>
      <c r="D133" s="454" t="s">
        <v>194</v>
      </c>
      <c r="E133" s="313">
        <v>125</v>
      </c>
    </row>
    <row r="134" ht="18" customHeight="1" spans="1:5">
      <c r="A134" s="300">
        <v>131</v>
      </c>
      <c r="B134" s="312" t="s">
        <v>469</v>
      </c>
      <c r="C134" s="302" t="s">
        <v>470</v>
      </c>
      <c r="D134" s="454" t="s">
        <v>194</v>
      </c>
      <c r="E134" s="313">
        <v>100</v>
      </c>
    </row>
    <row r="135" ht="20.1" customHeight="1" spans="1:5">
      <c r="A135" s="307">
        <v>132</v>
      </c>
      <c r="B135" s="312" t="s">
        <v>471</v>
      </c>
      <c r="C135" s="302" t="s">
        <v>472</v>
      </c>
      <c r="D135" s="454" t="s">
        <v>194</v>
      </c>
      <c r="E135" s="313">
        <v>150</v>
      </c>
    </row>
    <row r="136" ht="20.1" customHeight="1" spans="1:5">
      <c r="A136" s="300">
        <v>133</v>
      </c>
      <c r="B136" s="312" t="s">
        <v>473</v>
      </c>
      <c r="C136" s="302" t="s">
        <v>474</v>
      </c>
      <c r="D136" s="454" t="s">
        <v>308</v>
      </c>
      <c r="E136" s="313">
        <v>1.5</v>
      </c>
    </row>
    <row r="137" ht="28.5" customHeight="1" spans="1:5">
      <c r="A137" s="307">
        <v>134</v>
      </c>
      <c r="B137" s="312" t="s">
        <v>475</v>
      </c>
      <c r="C137" s="302" t="s">
        <v>476</v>
      </c>
      <c r="D137" s="309" t="s">
        <v>308</v>
      </c>
      <c r="E137" s="313">
        <v>12</v>
      </c>
    </row>
    <row r="138" ht="26.25" spans="1:5">
      <c r="A138" s="300">
        <v>135</v>
      </c>
      <c r="B138" s="312" t="s">
        <v>477</v>
      </c>
      <c r="C138" s="302" t="s">
        <v>478</v>
      </c>
      <c r="D138" s="309" t="s">
        <v>187</v>
      </c>
      <c r="E138" s="313">
        <v>28</v>
      </c>
    </row>
    <row r="139" ht="21" customHeight="1" spans="1:5">
      <c r="A139" s="307">
        <v>136</v>
      </c>
      <c r="B139" s="312" t="s">
        <v>479</v>
      </c>
      <c r="C139" s="302" t="s">
        <v>480</v>
      </c>
      <c r="D139" s="309" t="s">
        <v>481</v>
      </c>
      <c r="E139" s="313">
        <v>1200</v>
      </c>
    </row>
    <row r="140" ht="21" customHeight="1" spans="1:5">
      <c r="A140" s="300">
        <v>137</v>
      </c>
      <c r="B140" s="312" t="s">
        <v>482</v>
      </c>
      <c r="C140" s="302" t="s">
        <v>483</v>
      </c>
      <c r="D140" s="309" t="s">
        <v>308</v>
      </c>
      <c r="E140" s="313">
        <v>45</v>
      </c>
    </row>
    <row r="141" ht="21" customHeight="1" spans="1:5">
      <c r="A141" s="307">
        <v>138</v>
      </c>
      <c r="B141" s="312" t="s">
        <v>484</v>
      </c>
      <c r="C141" s="302" t="s">
        <v>485</v>
      </c>
      <c r="D141" s="309" t="s">
        <v>481</v>
      </c>
      <c r="E141" s="313">
        <v>1300</v>
      </c>
    </row>
    <row r="142" ht="18.75" customHeight="1" spans="1:5">
      <c r="A142" s="300">
        <v>139</v>
      </c>
      <c r="B142" s="312" t="s">
        <v>486</v>
      </c>
      <c r="C142" s="302" t="s">
        <v>487</v>
      </c>
      <c r="D142" s="454" t="s">
        <v>187</v>
      </c>
      <c r="E142" s="313">
        <v>140</v>
      </c>
    </row>
    <row r="143" ht="18.75" customHeight="1" spans="1:5">
      <c r="A143" s="300" t="s">
        <v>488</v>
      </c>
      <c r="B143" s="312" t="s">
        <v>489</v>
      </c>
      <c r="C143" s="302" t="s">
        <v>490</v>
      </c>
      <c r="D143" s="454" t="s">
        <v>187</v>
      </c>
      <c r="E143" s="313">
        <v>110</v>
      </c>
    </row>
    <row r="144" ht="20.1" customHeight="1" spans="1:5">
      <c r="A144" s="307">
        <v>140</v>
      </c>
      <c r="B144" s="312" t="s">
        <v>491</v>
      </c>
      <c r="C144" s="302" t="s">
        <v>492</v>
      </c>
      <c r="D144" s="309" t="s">
        <v>481</v>
      </c>
      <c r="E144" s="313">
        <v>750</v>
      </c>
    </row>
    <row r="145" ht="20.1" customHeight="1" spans="1:5">
      <c r="A145" s="300">
        <v>141</v>
      </c>
      <c r="B145" s="312" t="s">
        <v>493</v>
      </c>
      <c r="C145" s="302" t="s">
        <v>494</v>
      </c>
      <c r="D145" s="309" t="s">
        <v>187</v>
      </c>
      <c r="E145" s="304">
        <v>65</v>
      </c>
    </row>
    <row r="146" ht="20.1" customHeight="1" spans="1:5">
      <c r="A146" s="307">
        <v>142</v>
      </c>
      <c r="B146" s="312" t="s">
        <v>495</v>
      </c>
      <c r="C146" s="302" t="s">
        <v>496</v>
      </c>
      <c r="D146" s="309" t="s">
        <v>308</v>
      </c>
      <c r="E146" s="313">
        <v>12</v>
      </c>
    </row>
    <row r="147" ht="20.1" customHeight="1" spans="1:5">
      <c r="A147" s="300">
        <v>143</v>
      </c>
      <c r="B147" s="312" t="s">
        <v>497</v>
      </c>
      <c r="C147" s="302" t="s">
        <v>498</v>
      </c>
      <c r="D147" s="309" t="s">
        <v>308</v>
      </c>
      <c r="E147" s="313">
        <v>22</v>
      </c>
    </row>
    <row r="148" ht="20.1" customHeight="1" spans="1:5">
      <c r="A148" s="307">
        <v>144</v>
      </c>
      <c r="B148" s="312" t="s">
        <v>499</v>
      </c>
      <c r="C148" s="302" t="s">
        <v>500</v>
      </c>
      <c r="D148" s="309" t="s">
        <v>308</v>
      </c>
      <c r="E148" s="313">
        <v>65</v>
      </c>
    </row>
    <row r="149" ht="27" customHeight="1" spans="1:5">
      <c r="A149" s="300">
        <v>145</v>
      </c>
      <c r="B149" s="312" t="s">
        <v>501</v>
      </c>
      <c r="C149" s="302" t="s">
        <v>502</v>
      </c>
      <c r="D149" s="454" t="s">
        <v>187</v>
      </c>
      <c r="E149" s="304">
        <v>35</v>
      </c>
    </row>
    <row r="150" ht="20.1" customHeight="1" spans="1:5">
      <c r="A150" s="307">
        <v>146</v>
      </c>
      <c r="B150" s="312" t="s">
        <v>503</v>
      </c>
      <c r="C150" s="302" t="s">
        <v>504</v>
      </c>
      <c r="D150" s="309" t="s">
        <v>308</v>
      </c>
      <c r="E150" s="313">
        <v>65</v>
      </c>
    </row>
    <row r="151" ht="24" customHeight="1" spans="1:5">
      <c r="A151" s="300">
        <v>147</v>
      </c>
      <c r="B151" s="312" t="s">
        <v>505</v>
      </c>
      <c r="C151" s="302" t="s">
        <v>506</v>
      </c>
      <c r="D151" s="454" t="s">
        <v>187</v>
      </c>
      <c r="E151" s="313">
        <v>65</v>
      </c>
    </row>
    <row r="152" ht="20.1" customHeight="1" spans="1:5">
      <c r="A152" s="307">
        <v>148</v>
      </c>
      <c r="B152" s="312" t="s">
        <v>507</v>
      </c>
      <c r="C152" s="302" t="s">
        <v>508</v>
      </c>
      <c r="D152" s="454" t="s">
        <v>308</v>
      </c>
      <c r="E152" s="313">
        <v>100</v>
      </c>
    </row>
    <row r="153" ht="20.1" customHeight="1" spans="1:5">
      <c r="A153" s="300">
        <v>149</v>
      </c>
      <c r="B153" s="312" t="s">
        <v>509</v>
      </c>
      <c r="C153" s="302" t="s">
        <v>510</v>
      </c>
      <c r="D153" s="309" t="s">
        <v>308</v>
      </c>
      <c r="E153" s="313">
        <v>12</v>
      </c>
    </row>
    <row r="154" ht="20.1" customHeight="1" spans="1:5">
      <c r="A154" s="307">
        <v>150</v>
      </c>
      <c r="B154" s="312" t="s">
        <v>511</v>
      </c>
      <c r="C154" s="302" t="s">
        <v>512</v>
      </c>
      <c r="D154" s="309" t="s">
        <v>308</v>
      </c>
      <c r="E154" s="313">
        <v>5</v>
      </c>
    </row>
    <row r="155" ht="20.1" customHeight="1" spans="1:5">
      <c r="A155" s="300">
        <v>151</v>
      </c>
      <c r="B155" s="312" t="s">
        <v>513</v>
      </c>
      <c r="C155" s="302" t="s">
        <v>514</v>
      </c>
      <c r="D155" s="309" t="s">
        <v>194</v>
      </c>
      <c r="E155" s="304">
        <v>5</v>
      </c>
    </row>
    <row r="156" ht="13.5" spans="1:5">
      <c r="A156" s="307">
        <v>152</v>
      </c>
      <c r="B156" s="312" t="s">
        <v>515</v>
      </c>
      <c r="C156" s="302" t="s">
        <v>516</v>
      </c>
      <c r="D156" s="309" t="s">
        <v>327</v>
      </c>
      <c r="E156" s="304">
        <v>68</v>
      </c>
    </row>
    <row r="157" ht="20.1" customHeight="1" spans="1:5">
      <c r="A157" s="300">
        <v>153</v>
      </c>
      <c r="B157" s="312" t="s">
        <v>517</v>
      </c>
      <c r="C157" s="302" t="s">
        <v>518</v>
      </c>
      <c r="D157" s="309" t="s">
        <v>194</v>
      </c>
      <c r="E157" s="304">
        <v>145</v>
      </c>
    </row>
    <row r="158" ht="20.1" customHeight="1" spans="1:5">
      <c r="A158" s="307">
        <v>154</v>
      </c>
      <c r="B158" s="312" t="s">
        <v>519</v>
      </c>
      <c r="C158" s="302" t="s">
        <v>520</v>
      </c>
      <c r="D158" s="309" t="s">
        <v>281</v>
      </c>
      <c r="E158" s="304">
        <v>355</v>
      </c>
    </row>
    <row r="159" ht="20.1" customHeight="1" spans="1:5">
      <c r="A159" s="300">
        <v>155</v>
      </c>
      <c r="B159" s="312" t="s">
        <v>521</v>
      </c>
      <c r="C159" s="302" t="s">
        <v>522</v>
      </c>
      <c r="D159" s="454" t="s">
        <v>194</v>
      </c>
      <c r="E159" s="304">
        <v>75</v>
      </c>
    </row>
    <row r="160" ht="20.1" customHeight="1" spans="1:5">
      <c r="A160" s="307">
        <v>156</v>
      </c>
      <c r="B160" s="312" t="s">
        <v>523</v>
      </c>
      <c r="C160" s="302" t="s">
        <v>524</v>
      </c>
      <c r="D160" s="454" t="s">
        <v>194</v>
      </c>
      <c r="E160" s="304">
        <v>100</v>
      </c>
    </row>
    <row r="161" ht="20.1" customHeight="1" spans="1:5">
      <c r="A161" s="300">
        <v>157</v>
      </c>
      <c r="B161" s="312" t="s">
        <v>36</v>
      </c>
      <c r="C161" s="302" t="s">
        <v>525</v>
      </c>
      <c r="D161" s="309" t="s">
        <v>173</v>
      </c>
      <c r="E161" s="304">
        <v>0.3</v>
      </c>
    </row>
    <row r="162" ht="20.1" customHeight="1" spans="1:5">
      <c r="A162" s="307">
        <v>158</v>
      </c>
      <c r="B162" s="312" t="s">
        <v>526</v>
      </c>
      <c r="C162" s="302" t="s">
        <v>527</v>
      </c>
      <c r="D162" s="309" t="s">
        <v>199</v>
      </c>
      <c r="E162" s="304">
        <v>150</v>
      </c>
    </row>
    <row r="163" ht="20.1" customHeight="1" spans="1:5">
      <c r="A163" s="300">
        <v>159</v>
      </c>
      <c r="B163" s="341" t="s">
        <v>528</v>
      </c>
      <c r="C163" s="302" t="s">
        <v>529</v>
      </c>
      <c r="D163" s="454" t="s">
        <v>199</v>
      </c>
      <c r="E163" s="304">
        <v>17.5</v>
      </c>
    </row>
    <row r="164" ht="20.1" customHeight="1" spans="1:5">
      <c r="A164" s="307">
        <v>160</v>
      </c>
      <c r="B164" s="341" t="s">
        <v>530</v>
      </c>
      <c r="C164" s="302" t="s">
        <v>531</v>
      </c>
      <c r="D164" s="309" t="s">
        <v>194</v>
      </c>
      <c r="E164" s="304">
        <v>65</v>
      </c>
    </row>
    <row r="165" ht="20.1" customHeight="1" spans="1:5">
      <c r="A165" s="300">
        <v>161</v>
      </c>
      <c r="B165" s="341" t="s">
        <v>532</v>
      </c>
      <c r="C165" s="302" t="s">
        <v>533</v>
      </c>
      <c r="D165" s="309" t="s">
        <v>199</v>
      </c>
      <c r="E165" s="304">
        <v>50</v>
      </c>
    </row>
    <row r="166" ht="20.1" customHeight="1" spans="1:5">
      <c r="A166" s="307">
        <v>162</v>
      </c>
      <c r="B166" s="341" t="s">
        <v>534</v>
      </c>
      <c r="C166" s="302" t="s">
        <v>535</v>
      </c>
      <c r="D166" s="309" t="s">
        <v>199</v>
      </c>
      <c r="E166" s="304">
        <v>25</v>
      </c>
    </row>
    <row r="167" ht="20.1" customHeight="1" spans="1:5">
      <c r="A167" s="300">
        <v>163</v>
      </c>
      <c r="B167" s="341" t="s">
        <v>536</v>
      </c>
      <c r="C167" s="302" t="s">
        <v>537</v>
      </c>
      <c r="D167" s="454" t="s">
        <v>199</v>
      </c>
      <c r="E167" s="304">
        <v>25</v>
      </c>
    </row>
    <row r="168" ht="20.1" customHeight="1" spans="1:5">
      <c r="A168" s="307">
        <v>164</v>
      </c>
      <c r="B168" s="341" t="s">
        <v>538</v>
      </c>
      <c r="C168" s="302" t="s">
        <v>539</v>
      </c>
      <c r="D168" s="309" t="s">
        <v>194</v>
      </c>
      <c r="E168" s="304">
        <v>8.75</v>
      </c>
    </row>
    <row r="169" ht="20.1" customHeight="1" spans="1:5">
      <c r="A169" s="307">
        <v>165</v>
      </c>
      <c r="B169" s="341" t="s">
        <v>540</v>
      </c>
      <c r="C169" s="342" t="s">
        <v>541</v>
      </c>
      <c r="D169" s="309" t="s">
        <v>173</v>
      </c>
      <c r="E169" s="304">
        <v>450</v>
      </c>
    </row>
    <row r="170" ht="20.1" customHeight="1" spans="1:5">
      <c r="A170" s="343">
        <v>166</v>
      </c>
      <c r="B170" s="319" t="s">
        <v>542</v>
      </c>
      <c r="C170" s="320" t="s">
        <v>543</v>
      </c>
      <c r="D170" s="338" t="s">
        <v>199</v>
      </c>
      <c r="E170" s="304">
        <v>15</v>
      </c>
    </row>
    <row r="171" spans="3:5">
      <c r="C171" s="290"/>
      <c r="E171" s="344"/>
    </row>
    <row r="172" spans="3:5">
      <c r="C172" s="290"/>
      <c r="E172" s="344"/>
    </row>
    <row r="173" spans="5:5">
      <c r="E173" s="345"/>
    </row>
    <row r="174" spans="5:5">
      <c r="E174" s="345"/>
    </row>
    <row r="175" spans="5:5">
      <c r="E175" s="345"/>
    </row>
    <row r="176" spans="5:5">
      <c r="E176" s="345"/>
    </row>
    <row r="177" spans="5:5">
      <c r="E177" s="345"/>
    </row>
    <row r="178" spans="5:5">
      <c r="E178" s="344"/>
    </row>
  </sheetData>
  <mergeCells count="4">
    <mergeCell ref="A1:E1"/>
    <mergeCell ref="A2:E2"/>
    <mergeCell ref="F2:J2"/>
    <mergeCell ref="K2:O2"/>
  </mergeCells>
  <pageMargins left="0.05" right="0.03" top="0" bottom="0" header="0" footer="0"/>
  <pageSetup paperSize="9" scale="66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4"/>
  </sheetPr>
  <dimension ref="A1:P17"/>
  <sheetViews>
    <sheetView topLeftCell="A4" workbookViewId="0">
      <selection activeCell="A1" sqref="A1"/>
    </sheetView>
  </sheetViews>
  <sheetFormatPr defaultColWidth="9" defaultRowHeight="12.75"/>
  <cols>
    <col min="1" max="1" width="8.57142857142857" style="260" customWidth="1"/>
    <col min="2" max="2" width="5" style="261" customWidth="1"/>
    <col min="3" max="3" width="37.4285714285714" style="262" customWidth="1"/>
    <col min="4" max="4" width="9" style="263" customWidth="1"/>
    <col min="5" max="16384" width="9.14285714285714" style="260"/>
  </cols>
  <sheetData>
    <row r="1" ht="31.5" customHeight="1" spans="1:2">
      <c r="A1" s="185"/>
      <c r="B1" s="264" t="s">
        <v>544</v>
      </c>
    </row>
    <row r="2" ht="22.5" customHeight="1" spans="2:10">
      <c r="B2" s="265">
        <v>1</v>
      </c>
      <c r="C2" s="266" t="s">
        <v>545</v>
      </c>
      <c r="D2" s="267"/>
      <c r="H2" s="268"/>
      <c r="J2" s="268"/>
    </row>
    <row r="3" ht="22.5" customHeight="1" spans="2:10">
      <c r="B3" s="269">
        <v>2</v>
      </c>
      <c r="C3" s="266" t="s">
        <v>546</v>
      </c>
      <c r="D3" s="267"/>
      <c r="H3" s="268"/>
      <c r="J3" s="268"/>
    </row>
    <row r="4" ht="22.5" customHeight="1" spans="2:8">
      <c r="B4" s="270">
        <v>3</v>
      </c>
      <c r="C4" s="266" t="s">
        <v>547</v>
      </c>
      <c r="D4" s="271"/>
      <c r="E4" s="268"/>
      <c r="H4" s="268"/>
    </row>
    <row r="5" ht="22.5" customHeight="1" spans="2:10">
      <c r="B5" s="272">
        <v>4</v>
      </c>
      <c r="C5" s="266" t="s">
        <v>548</v>
      </c>
      <c r="D5" s="267"/>
      <c r="E5" s="268"/>
      <c r="F5" s="268"/>
      <c r="G5" s="268"/>
      <c r="H5" s="268"/>
      <c r="I5" s="268"/>
      <c r="J5" s="268"/>
    </row>
    <row r="6" ht="22.5" customHeight="1" spans="2:10">
      <c r="B6" s="273">
        <v>5</v>
      </c>
      <c r="C6" s="266" t="s">
        <v>549</v>
      </c>
      <c r="D6" s="267"/>
      <c r="H6" s="268"/>
      <c r="J6" s="268"/>
    </row>
    <row r="7" ht="22.5" customHeight="1" spans="2:16">
      <c r="B7" s="274">
        <v>6</v>
      </c>
      <c r="C7" s="266" t="s">
        <v>550</v>
      </c>
      <c r="D7" s="267"/>
      <c r="E7" s="268"/>
      <c r="F7" s="275" t="s">
        <v>551</v>
      </c>
      <c r="G7" s="268"/>
      <c r="H7" s="268"/>
      <c r="I7" s="268"/>
      <c r="J7" s="268"/>
      <c r="K7" s="268"/>
      <c r="L7" s="268"/>
      <c r="M7" s="268"/>
      <c r="N7" s="268"/>
      <c r="O7" s="268"/>
      <c r="P7" s="268"/>
    </row>
    <row r="8" ht="22.5" customHeight="1" spans="2:15">
      <c r="B8" s="276">
        <v>7</v>
      </c>
      <c r="C8" s="266" t="s">
        <v>552</v>
      </c>
      <c r="D8" s="267"/>
      <c r="E8" s="268"/>
      <c r="F8" s="277" t="s">
        <v>553</v>
      </c>
      <c r="G8" s="277"/>
      <c r="H8" s="277"/>
      <c r="I8" s="277"/>
      <c r="J8" s="277"/>
      <c r="K8" s="277"/>
      <c r="L8" s="277"/>
      <c r="M8" s="277"/>
      <c r="N8" s="277"/>
      <c r="O8" s="277"/>
    </row>
    <row r="9" ht="22.5" customHeight="1" spans="2:15">
      <c r="B9" s="278">
        <v>8</v>
      </c>
      <c r="C9" s="266" t="s">
        <v>554</v>
      </c>
      <c r="D9" s="267"/>
      <c r="F9" s="277"/>
      <c r="G9" s="277"/>
      <c r="H9" s="277"/>
      <c r="I9" s="277"/>
      <c r="J9" s="277"/>
      <c r="K9" s="277"/>
      <c r="L9" s="277"/>
      <c r="M9" s="277"/>
      <c r="N9" s="277"/>
      <c r="O9" s="277"/>
    </row>
    <row r="10" ht="22.5" customHeight="1" spans="2:15">
      <c r="B10" s="279">
        <v>9</v>
      </c>
      <c r="C10" s="266" t="s">
        <v>555</v>
      </c>
      <c r="D10" s="267"/>
      <c r="F10" s="280"/>
      <c r="G10" s="280"/>
      <c r="H10" s="280"/>
      <c r="I10" s="280"/>
      <c r="J10" s="280"/>
      <c r="K10" s="280"/>
      <c r="L10" s="280"/>
      <c r="M10" s="280"/>
      <c r="N10" s="280"/>
      <c r="O10" s="280"/>
    </row>
    <row r="11" ht="22.5" customHeight="1" spans="2:15">
      <c r="B11" s="281">
        <v>10</v>
      </c>
      <c r="C11" s="266" t="s">
        <v>556</v>
      </c>
      <c r="D11" s="267"/>
      <c r="E11" s="268"/>
      <c r="F11" s="280"/>
      <c r="G11" s="280"/>
      <c r="H11" s="280"/>
      <c r="I11" s="280"/>
      <c r="J11" s="280"/>
      <c r="K11" s="280"/>
      <c r="L11" s="280"/>
      <c r="M11" s="280"/>
      <c r="N11" s="280"/>
      <c r="O11" s="280"/>
    </row>
    <row r="12" ht="22.5" customHeight="1" spans="2:15">
      <c r="B12" s="282">
        <v>11</v>
      </c>
      <c r="C12" s="266" t="s">
        <v>557</v>
      </c>
      <c r="D12" s="267"/>
      <c r="E12" s="268"/>
      <c r="F12" s="280"/>
      <c r="G12" s="280"/>
      <c r="H12" s="280"/>
      <c r="I12" s="280"/>
      <c r="J12" s="280"/>
      <c r="K12" s="280"/>
      <c r="L12" s="280"/>
      <c r="M12" s="280"/>
      <c r="N12" s="280"/>
      <c r="O12" s="280"/>
    </row>
    <row r="13" ht="22.5" customHeight="1" spans="2:15">
      <c r="B13" s="283">
        <v>12</v>
      </c>
      <c r="C13" s="266" t="s">
        <v>558</v>
      </c>
      <c r="D13" s="267"/>
      <c r="E13" s="268"/>
      <c r="F13" s="280"/>
      <c r="G13" s="280"/>
      <c r="H13" s="280"/>
      <c r="I13" s="280"/>
      <c r="J13" s="280"/>
      <c r="K13" s="280"/>
      <c r="L13" s="280"/>
      <c r="M13" s="280"/>
      <c r="N13" s="280"/>
      <c r="O13" s="280"/>
    </row>
    <row r="14" ht="22.5" customHeight="1" spans="2:10">
      <c r="B14" s="284">
        <v>13</v>
      </c>
      <c r="C14" s="266" t="s">
        <v>559</v>
      </c>
      <c r="D14" s="267"/>
      <c r="H14" s="268"/>
      <c r="J14" s="268"/>
    </row>
    <row r="15" ht="22.5" customHeight="1" spans="2:16">
      <c r="B15" s="285">
        <v>14</v>
      </c>
      <c r="C15" s="266" t="s">
        <v>560</v>
      </c>
      <c r="D15" s="267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</row>
    <row r="16" ht="22.5" customHeight="1" spans="2:16">
      <c r="B16" s="286">
        <v>15</v>
      </c>
      <c r="C16" s="266" t="s">
        <v>561</v>
      </c>
      <c r="D16" s="267"/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</row>
    <row r="17" ht="22.5" customHeight="1" spans="2:10">
      <c r="B17" s="287">
        <v>16</v>
      </c>
      <c r="C17" s="266" t="s">
        <v>562</v>
      </c>
      <c r="D17" s="267"/>
      <c r="E17" s="268"/>
      <c r="H17" s="268"/>
      <c r="J17" s="268"/>
    </row>
  </sheetData>
  <mergeCells count="1">
    <mergeCell ref="F8:O9"/>
  </mergeCells>
  <pageMargins left="0.75" right="0.75" top="1" bottom="1" header="0.5" footer="0.5"/>
  <pageSetup paperSize="1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indexed="52"/>
  </sheetPr>
  <dimension ref="A1:K154"/>
  <sheetViews>
    <sheetView topLeftCell="A37" workbookViewId="0">
      <selection activeCell="L146" sqref="L146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3.4285714285714" style="9" customWidth="1"/>
    <col min="9" max="16384" width="9.14285714285714" style="6"/>
  </cols>
  <sheetData>
    <row r="1" ht="11.25" customHeight="1"/>
    <row r="2" ht="20.1" customHeight="1" spans="1:9">
      <c r="A2" s="249" t="s">
        <v>563</v>
      </c>
      <c r="B2" s="249"/>
      <c r="C2" s="249"/>
      <c r="D2" s="249"/>
      <c r="E2" s="249"/>
      <c r="F2" s="249"/>
      <c r="G2" s="249"/>
      <c r="H2" s="249"/>
      <c r="I2" s="54"/>
    </row>
    <row r="3" ht="14.25" customHeight="1" spans="1:9">
      <c r="A3" s="240"/>
      <c r="B3" s="240"/>
      <c r="C3" s="241"/>
      <c r="D3" s="241"/>
      <c r="E3" s="241"/>
      <c r="F3" s="241"/>
      <c r="G3" s="241"/>
      <c r="H3" s="242"/>
      <c r="I3" s="247"/>
    </row>
    <row r="4" ht="18" customHeight="1" spans="1:9">
      <c r="A4" s="240"/>
      <c r="B4" s="250" t="s">
        <v>564</v>
      </c>
      <c r="C4" s="251" t="s">
        <v>565</v>
      </c>
      <c r="D4" s="241"/>
      <c r="E4" s="241"/>
      <c r="F4" s="241"/>
      <c r="G4" s="241"/>
      <c r="H4" s="242"/>
      <c r="I4" s="247"/>
    </row>
    <row r="5" ht="18" customHeight="1" spans="1:9">
      <c r="A5" s="240"/>
      <c r="B5" s="250" t="s">
        <v>566</v>
      </c>
      <c r="C5" s="251" t="s">
        <v>567</v>
      </c>
      <c r="D5" s="241"/>
      <c r="E5" s="241"/>
      <c r="F5" s="241"/>
      <c r="G5" s="241"/>
      <c r="H5" s="242"/>
      <c r="I5" s="247"/>
    </row>
    <row r="6" ht="18" customHeight="1" spans="1:9">
      <c r="A6" s="240"/>
      <c r="B6" s="240"/>
      <c r="C6" s="241"/>
      <c r="D6" s="241"/>
      <c r="E6" s="241"/>
      <c r="F6" s="241"/>
      <c r="G6" s="241"/>
      <c r="H6" s="242"/>
      <c r="I6" s="247"/>
    </row>
    <row r="7" s="1" customFormat="1" ht="20.25" customHeight="1" spans="1:9">
      <c r="A7" s="59" t="s">
        <v>565</v>
      </c>
      <c r="B7" s="22"/>
      <c r="C7" s="22"/>
      <c r="D7" s="22"/>
      <c r="E7" s="22"/>
      <c r="F7" s="22"/>
      <c r="G7" s="22"/>
      <c r="H7" s="60"/>
      <c r="I7" s="56"/>
    </row>
    <row r="8" ht="18" customHeight="1" spans="1:9">
      <c r="A8" s="240"/>
      <c r="B8" s="240"/>
      <c r="C8" s="241"/>
      <c r="D8" s="241"/>
      <c r="E8" s="241"/>
      <c r="F8" s="241"/>
      <c r="G8" s="241"/>
      <c r="H8" s="242"/>
      <c r="I8" s="247"/>
    </row>
    <row r="9" s="2" customFormat="1" ht="33.75" customHeight="1" spans="1:9">
      <c r="A9" s="226" t="s">
        <v>568</v>
      </c>
      <c r="B9" s="227"/>
      <c r="C9" s="252" t="s">
        <v>569</v>
      </c>
      <c r="D9" s="253"/>
      <c r="E9" s="253"/>
      <c r="F9" s="253"/>
      <c r="G9" s="253"/>
      <c r="H9" s="254"/>
      <c r="I9" s="57"/>
    </row>
    <row r="10" s="3" customFormat="1" ht="18" customHeight="1" spans="2:8">
      <c r="B10" s="255"/>
      <c r="C10" s="255"/>
      <c r="D10" s="218"/>
      <c r="E10" s="256" t="s">
        <v>570</v>
      </c>
      <c r="F10" s="218">
        <v>1</v>
      </c>
      <c r="G10" s="256" t="s">
        <v>571</v>
      </c>
      <c r="H10" s="204"/>
    </row>
    <row r="11" ht="16.5" customHeight="1" spans="2:8">
      <c r="B11" s="34" t="s">
        <v>572</v>
      </c>
      <c r="C11" s="34" t="s">
        <v>573</v>
      </c>
      <c r="D11" s="34" t="s">
        <v>574</v>
      </c>
      <c r="E11" s="34" t="s">
        <v>6</v>
      </c>
      <c r="F11" s="34" t="s">
        <v>575</v>
      </c>
      <c r="G11" s="34" t="s">
        <v>576</v>
      </c>
      <c r="H11" s="35" t="s">
        <v>577</v>
      </c>
    </row>
    <row r="12" ht="20.1" customHeight="1" spans="2:8">
      <c r="B12" s="34">
        <v>1</v>
      </c>
      <c r="C12" s="36" t="s">
        <v>208</v>
      </c>
      <c r="D12" s="34" t="s">
        <v>209</v>
      </c>
      <c r="E12" s="34" t="s">
        <v>175</v>
      </c>
      <c r="F12" s="34">
        <v>0.75</v>
      </c>
      <c r="G12" s="75">
        <f>'Basic Rates'!J10</f>
        <v>2300</v>
      </c>
      <c r="H12" s="38">
        <f>G12*F12</f>
        <v>1725</v>
      </c>
    </row>
    <row r="13" ht="20.1" customHeight="1" spans="2:8">
      <c r="B13" s="34">
        <v>1.01</v>
      </c>
      <c r="C13" s="36" t="s">
        <v>578</v>
      </c>
      <c r="D13" s="34"/>
      <c r="E13" s="34"/>
      <c r="F13" s="34"/>
      <c r="G13" s="75"/>
      <c r="H13" s="38">
        <f>H12*2.5/100</f>
        <v>43.125</v>
      </c>
    </row>
    <row r="14" ht="20.1" customHeight="1" spans="2:8">
      <c r="B14" s="61"/>
      <c r="C14" s="61"/>
      <c r="D14" s="39" t="s">
        <v>579</v>
      </c>
      <c r="E14" s="40">
        <v>1</v>
      </c>
      <c r="F14" s="40" t="str">
        <f>G10</f>
        <v>Sqr</v>
      </c>
      <c r="G14" s="41"/>
      <c r="H14" s="38">
        <f>SUM(H12:H13)</f>
        <v>1768.125</v>
      </c>
    </row>
    <row r="15" ht="20.1" customHeight="1" spans="2:8">
      <c r="B15" s="61"/>
      <c r="C15" s="61"/>
      <c r="D15" s="39" t="s">
        <v>580</v>
      </c>
      <c r="E15" s="257" t="str">
        <f>$G$34</f>
        <v>Sqrs</v>
      </c>
      <c r="F15" s="40"/>
      <c r="G15" s="258"/>
      <c r="H15" s="38">
        <f>H14/F10</f>
        <v>1768.125</v>
      </c>
    </row>
    <row r="16" s="4" customFormat="1" ht="20.1" customHeight="1" spans="1:11">
      <c r="A16" s="42"/>
      <c r="B16" s="43"/>
      <c r="C16" s="43"/>
      <c r="D16" s="44" t="s">
        <v>581</v>
      </c>
      <c r="E16" s="45"/>
      <c r="F16" s="45"/>
      <c r="G16" s="46" t="s">
        <v>582</v>
      </c>
      <c r="H16" s="229">
        <f>H15</f>
        <v>1768.125</v>
      </c>
      <c r="K16" s="58"/>
    </row>
    <row r="17" s="4" customFormat="1" ht="20.1" customHeight="1" spans="1:11">
      <c r="A17" s="42"/>
      <c r="B17" s="43"/>
      <c r="C17" s="43"/>
      <c r="D17" s="44" t="s">
        <v>581</v>
      </c>
      <c r="E17" s="45"/>
      <c r="F17" s="45"/>
      <c r="G17" s="46" t="s">
        <v>583</v>
      </c>
      <c r="H17" s="229">
        <f>H16/100</f>
        <v>17.68125</v>
      </c>
      <c r="K17" s="58"/>
    </row>
    <row r="18" s="4" customFormat="1" ht="20.1" customHeight="1" spans="1:11">
      <c r="A18" s="42"/>
      <c r="B18" s="43"/>
      <c r="C18" s="43"/>
      <c r="D18" s="44" t="s">
        <v>581</v>
      </c>
      <c r="E18" s="45"/>
      <c r="F18" s="45"/>
      <c r="G18" s="46" t="s">
        <v>584</v>
      </c>
      <c r="H18" s="229">
        <f>H17*10.76</f>
        <v>190.25025</v>
      </c>
      <c r="K18" s="58"/>
    </row>
    <row r="19" s="5" customFormat="1" ht="20.1" customHeight="1" spans="1:11">
      <c r="A19" s="62"/>
      <c r="B19" s="63"/>
      <c r="C19" s="63"/>
      <c r="D19" s="64"/>
      <c r="E19" s="65"/>
      <c r="F19" s="65"/>
      <c r="G19" s="66"/>
      <c r="H19" s="243"/>
      <c r="K19" s="69"/>
    </row>
    <row r="20" s="2" customFormat="1" ht="33.75" customHeight="1" spans="1:9">
      <c r="A20" s="226" t="s">
        <v>585</v>
      </c>
      <c r="B20" s="227"/>
      <c r="C20" s="252" t="s">
        <v>586</v>
      </c>
      <c r="D20" s="253"/>
      <c r="E20" s="253"/>
      <c r="F20" s="253"/>
      <c r="G20" s="253"/>
      <c r="H20" s="254"/>
      <c r="I20" s="57"/>
    </row>
    <row r="21" s="3" customFormat="1" ht="18" customHeight="1" spans="4:8">
      <c r="D21" s="31"/>
      <c r="E21" s="32" t="s">
        <v>570</v>
      </c>
      <c r="F21" s="31">
        <v>1</v>
      </c>
      <c r="G21" s="32" t="s">
        <v>571</v>
      </c>
      <c r="H21" s="33"/>
    </row>
    <row r="22" ht="15" customHeight="1" spans="2:8">
      <c r="B22" s="34" t="s">
        <v>194</v>
      </c>
      <c r="C22" s="34" t="s">
        <v>573</v>
      </c>
      <c r="D22" s="34" t="s">
        <v>574</v>
      </c>
      <c r="E22" s="34" t="s">
        <v>6</v>
      </c>
      <c r="F22" s="34" t="s">
        <v>575</v>
      </c>
      <c r="G22" s="34" t="s">
        <v>576</v>
      </c>
      <c r="H22" s="35" t="s">
        <v>577</v>
      </c>
    </row>
    <row r="23" ht="31.5" customHeight="1" spans="2:8">
      <c r="B23" s="34">
        <v>1.00999999046326</v>
      </c>
      <c r="C23" s="36" t="s">
        <v>587</v>
      </c>
      <c r="D23" s="34" t="s">
        <v>209</v>
      </c>
      <c r="E23" s="34" t="s">
        <v>175</v>
      </c>
      <c r="F23" s="34">
        <v>2.5</v>
      </c>
      <c r="G23" s="75">
        <f>'Basic Rates'!J10</f>
        <v>2300</v>
      </c>
      <c r="H23" s="38">
        <f>F23*G23</f>
        <v>5750</v>
      </c>
    </row>
    <row r="24" ht="20.45" customHeight="1" spans="2:8">
      <c r="B24" s="34">
        <v>1.01999998092651</v>
      </c>
      <c r="C24" s="36" t="s">
        <v>588</v>
      </c>
      <c r="D24" s="34" t="s">
        <v>209</v>
      </c>
      <c r="E24" s="34" t="s">
        <v>175</v>
      </c>
      <c r="F24" s="34">
        <v>0.5</v>
      </c>
      <c r="G24" s="75">
        <f>G23</f>
        <v>2300</v>
      </c>
      <c r="H24" s="38">
        <f>F24*G24</f>
        <v>1150</v>
      </c>
    </row>
    <row r="25" ht="20.45" customHeight="1" spans="2:8">
      <c r="B25" s="34">
        <v>1.02999997138977</v>
      </c>
      <c r="C25" s="36" t="s">
        <v>589</v>
      </c>
      <c r="D25" s="34" t="s">
        <v>209</v>
      </c>
      <c r="E25" s="34" t="s">
        <v>175</v>
      </c>
      <c r="F25" s="34">
        <v>1.5</v>
      </c>
      <c r="G25" s="75">
        <f>G23</f>
        <v>2300</v>
      </c>
      <c r="H25" s="38">
        <f>F25*G25</f>
        <v>3450</v>
      </c>
    </row>
    <row r="26" ht="20.45" customHeight="1" spans="2:8">
      <c r="B26" s="34">
        <v>1.03999996185303</v>
      </c>
      <c r="C26" s="36" t="s">
        <v>36</v>
      </c>
      <c r="D26" s="34" t="s">
        <v>525</v>
      </c>
      <c r="E26" s="34" t="s">
        <v>173</v>
      </c>
      <c r="F26" s="34">
        <v>60</v>
      </c>
      <c r="G26" s="75">
        <f>'Basic Rates'!E161</f>
        <v>0.3</v>
      </c>
      <c r="H26" s="38">
        <f>F26*G26</f>
        <v>18</v>
      </c>
    </row>
    <row r="27" ht="20.45" customHeight="1" spans="2:8">
      <c r="B27" s="61"/>
      <c r="C27" s="61"/>
      <c r="D27" s="39" t="s">
        <v>579</v>
      </c>
      <c r="E27" s="40">
        <f>$F$21</f>
        <v>1</v>
      </c>
      <c r="F27" s="40" t="str">
        <f>$G$21</f>
        <v>Sqr</v>
      </c>
      <c r="G27" s="41"/>
      <c r="H27" s="38">
        <f>SUM(H23:H26)</f>
        <v>10368</v>
      </c>
    </row>
    <row r="28" ht="20.45" customHeight="1" spans="2:8">
      <c r="B28" s="61"/>
      <c r="C28" s="61"/>
      <c r="D28" s="39" t="s">
        <v>580</v>
      </c>
      <c r="E28" s="40" t="str">
        <f>$G$21</f>
        <v>Sqr</v>
      </c>
      <c r="F28" s="40"/>
      <c r="G28" s="41"/>
      <c r="H28" s="38">
        <f>H27/F21</f>
        <v>10368</v>
      </c>
    </row>
    <row r="29" s="4" customFormat="1" ht="20.1" customHeight="1" spans="1:11">
      <c r="A29" s="42"/>
      <c r="B29" s="43"/>
      <c r="C29" s="43"/>
      <c r="D29" s="44" t="s">
        <v>581</v>
      </c>
      <c r="E29" s="45"/>
      <c r="F29" s="45"/>
      <c r="G29" s="46" t="s">
        <v>582</v>
      </c>
      <c r="H29" s="229">
        <f>H28</f>
        <v>10368</v>
      </c>
      <c r="K29" s="58"/>
    </row>
    <row r="30" s="4" customFormat="1" ht="20.1" customHeight="1" spans="1:11">
      <c r="A30" s="42"/>
      <c r="B30" s="43"/>
      <c r="C30" s="43"/>
      <c r="D30" s="44" t="s">
        <v>581</v>
      </c>
      <c r="E30" s="45"/>
      <c r="F30" s="45"/>
      <c r="G30" s="46" t="s">
        <v>583</v>
      </c>
      <c r="H30" s="229">
        <f>H29/100</f>
        <v>103.68</v>
      </c>
      <c r="K30" s="58"/>
    </row>
    <row r="31" s="4" customFormat="1" ht="20.1" customHeight="1" spans="1:11">
      <c r="A31" s="42"/>
      <c r="B31" s="43"/>
      <c r="C31" s="43"/>
      <c r="D31" s="44" t="s">
        <v>581</v>
      </c>
      <c r="E31" s="45"/>
      <c r="F31" s="45"/>
      <c r="G31" s="46" t="s">
        <v>584</v>
      </c>
      <c r="H31" s="229">
        <f>H30*10.76</f>
        <v>1115.5968</v>
      </c>
      <c r="K31" s="58"/>
    </row>
    <row r="32" s="5" customFormat="1" ht="22.5" customHeight="1" spans="1:11">
      <c r="A32" s="62"/>
      <c r="B32" s="63"/>
      <c r="C32" s="63"/>
      <c r="D32" s="64"/>
      <c r="E32" s="65"/>
      <c r="F32" s="65"/>
      <c r="G32" s="66"/>
      <c r="H32" s="243"/>
      <c r="K32" s="69"/>
    </row>
    <row r="33" s="2" customFormat="1" ht="24" customHeight="1" spans="1:9">
      <c r="A33" s="226" t="s">
        <v>590</v>
      </c>
      <c r="B33" s="227"/>
      <c r="C33" s="252" t="s">
        <v>591</v>
      </c>
      <c r="D33" s="253"/>
      <c r="E33" s="253"/>
      <c r="F33" s="253"/>
      <c r="G33" s="253"/>
      <c r="H33" s="254"/>
      <c r="I33" s="57"/>
    </row>
    <row r="34" s="3" customFormat="1" ht="18" customHeight="1" spans="2:8">
      <c r="B34" s="255"/>
      <c r="C34" s="255"/>
      <c r="D34" s="218"/>
      <c r="E34" s="256" t="s">
        <v>570</v>
      </c>
      <c r="F34" s="218">
        <v>10</v>
      </c>
      <c r="G34" s="256" t="s">
        <v>592</v>
      </c>
      <c r="H34" s="204"/>
    </row>
    <row r="35" ht="15" customHeight="1" spans="2:8">
      <c r="B35" s="34" t="s">
        <v>572</v>
      </c>
      <c r="C35" s="34" t="s">
        <v>573</v>
      </c>
      <c r="D35" s="34" t="s">
        <v>574</v>
      </c>
      <c r="E35" s="34" t="s">
        <v>6</v>
      </c>
      <c r="F35" s="34" t="s">
        <v>575</v>
      </c>
      <c r="G35" s="34" t="s">
        <v>576</v>
      </c>
      <c r="H35" s="35" t="s">
        <v>577</v>
      </c>
    </row>
    <row r="36" ht="20.1" customHeight="1" spans="2:8">
      <c r="B36" s="34">
        <v>1</v>
      </c>
      <c r="C36" s="36" t="s">
        <v>208</v>
      </c>
      <c r="D36" s="34" t="s">
        <v>209</v>
      </c>
      <c r="E36" s="34" t="s">
        <v>175</v>
      </c>
      <c r="F36" s="34">
        <v>10</v>
      </c>
      <c r="G36" s="75">
        <f>G23</f>
        <v>2300</v>
      </c>
      <c r="H36" s="38">
        <f>G36*F36</f>
        <v>23000</v>
      </c>
    </row>
    <row r="37" ht="20.1" customHeight="1" spans="2:8">
      <c r="B37" s="34">
        <v>1.01</v>
      </c>
      <c r="C37" s="36" t="s">
        <v>578</v>
      </c>
      <c r="D37" s="34"/>
      <c r="E37" s="34"/>
      <c r="F37" s="34"/>
      <c r="G37" s="75"/>
      <c r="H37" s="38">
        <f>H36*2.5/100</f>
        <v>575</v>
      </c>
    </row>
    <row r="38" ht="20.1" customHeight="1" spans="2:8">
      <c r="B38" s="61"/>
      <c r="C38" s="61"/>
      <c r="D38" s="39" t="s">
        <v>579</v>
      </c>
      <c r="E38" s="40">
        <f>$F$34</f>
        <v>10</v>
      </c>
      <c r="F38" s="40" t="str">
        <f>$G$34</f>
        <v>Sqrs</v>
      </c>
      <c r="G38" s="41"/>
      <c r="H38" s="38">
        <f>SUM(H36:H37)</f>
        <v>23575</v>
      </c>
    </row>
    <row r="39" ht="20.1" customHeight="1" spans="2:8">
      <c r="B39" s="61"/>
      <c r="C39" s="61"/>
      <c r="D39" s="39" t="s">
        <v>580</v>
      </c>
      <c r="E39" s="257" t="str">
        <f>$G$34</f>
        <v>Sqrs</v>
      </c>
      <c r="F39" s="40"/>
      <c r="G39" s="258"/>
      <c r="H39" s="38">
        <f>H38/F34</f>
        <v>2357.5</v>
      </c>
    </row>
    <row r="40" s="4" customFormat="1" ht="20.1" customHeight="1" spans="1:11">
      <c r="A40" s="42"/>
      <c r="B40" s="43"/>
      <c r="C40" s="43"/>
      <c r="D40" s="44" t="s">
        <v>581</v>
      </c>
      <c r="E40" s="45"/>
      <c r="F40" s="45"/>
      <c r="G40" s="46" t="s">
        <v>582</v>
      </c>
      <c r="H40" s="229">
        <f>H39</f>
        <v>2357.5</v>
      </c>
      <c r="K40" s="58"/>
    </row>
    <row r="41" s="4" customFormat="1" ht="20.1" customHeight="1" spans="1:11">
      <c r="A41" s="42"/>
      <c r="B41" s="43"/>
      <c r="C41" s="43"/>
      <c r="D41" s="44" t="s">
        <v>581</v>
      </c>
      <c r="E41" s="45"/>
      <c r="F41" s="45"/>
      <c r="G41" s="46" t="s">
        <v>583</v>
      </c>
      <c r="H41" s="229">
        <f>H40/100</f>
        <v>23.575</v>
      </c>
      <c r="K41" s="58"/>
    </row>
    <row r="42" s="4" customFormat="1" ht="20.1" customHeight="1" spans="1:11">
      <c r="A42" s="42"/>
      <c r="B42" s="43"/>
      <c r="C42" s="43"/>
      <c r="D42" s="44" t="s">
        <v>581</v>
      </c>
      <c r="E42" s="45"/>
      <c r="F42" s="45"/>
      <c r="G42" s="46" t="s">
        <v>584</v>
      </c>
      <c r="H42" s="229">
        <f>H41*10.76</f>
        <v>253.667</v>
      </c>
      <c r="K42" s="58"/>
    </row>
    <row r="43" s="5" customFormat="1" ht="20.1" customHeight="1" spans="1:11">
      <c r="A43" s="62"/>
      <c r="B43" s="63"/>
      <c r="C43" s="63"/>
      <c r="D43" s="64"/>
      <c r="E43" s="65"/>
      <c r="F43" s="65"/>
      <c r="G43" s="66"/>
      <c r="H43" s="243"/>
      <c r="K43" s="69"/>
    </row>
    <row r="44" s="1" customFormat="1" ht="20.25" customHeight="1" spans="1:9">
      <c r="A44" s="59" t="s">
        <v>567</v>
      </c>
      <c r="B44" s="22"/>
      <c r="C44" s="22"/>
      <c r="D44" s="22"/>
      <c r="E44" s="22"/>
      <c r="F44" s="22"/>
      <c r="G44" s="22"/>
      <c r="H44" s="60"/>
      <c r="I44" s="56"/>
    </row>
    <row r="45" s="5" customFormat="1" ht="20.1" customHeight="1" spans="1:11">
      <c r="A45" s="62"/>
      <c r="B45" s="63"/>
      <c r="C45" s="63"/>
      <c r="D45" s="64"/>
      <c r="E45" s="65"/>
      <c r="F45" s="65"/>
      <c r="G45" s="66"/>
      <c r="H45" s="243"/>
      <c r="K45" s="69"/>
    </row>
    <row r="46" s="2" customFormat="1" ht="32.25" customHeight="1" spans="1:9">
      <c r="A46" s="29" t="s">
        <v>593</v>
      </c>
      <c r="B46" s="29"/>
      <c r="C46" s="259" t="s">
        <v>594</v>
      </c>
      <c r="D46" s="259"/>
      <c r="E46" s="259"/>
      <c r="F46" s="259"/>
      <c r="G46" s="259"/>
      <c r="H46" s="259"/>
      <c r="I46" s="57"/>
    </row>
    <row r="47" s="3" customFormat="1" ht="15.75" customHeight="1" spans="4:8">
      <c r="D47" s="31"/>
      <c r="E47" s="32" t="s">
        <v>570</v>
      </c>
      <c r="F47" s="31">
        <v>1</v>
      </c>
      <c r="G47" s="32" t="s">
        <v>288</v>
      </c>
      <c r="H47" s="33"/>
    </row>
    <row r="48" ht="15" customHeight="1" spans="2:8">
      <c r="B48" s="34" t="s">
        <v>572</v>
      </c>
      <c r="C48" s="34" t="s">
        <v>573</v>
      </c>
      <c r="D48" s="34" t="s">
        <v>574</v>
      </c>
      <c r="E48" s="34" t="s">
        <v>6</v>
      </c>
      <c r="F48" s="34" t="s">
        <v>575</v>
      </c>
      <c r="G48" s="34" t="s">
        <v>576</v>
      </c>
      <c r="H48" s="35" t="s">
        <v>577</v>
      </c>
    </row>
    <row r="49" ht="20.45" customHeight="1" spans="2:8">
      <c r="B49" s="34">
        <v>1</v>
      </c>
      <c r="C49" s="36" t="s">
        <v>208</v>
      </c>
      <c r="D49" s="34" t="s">
        <v>209</v>
      </c>
      <c r="E49" s="34" t="s">
        <v>175</v>
      </c>
      <c r="F49" s="34">
        <v>1.625</v>
      </c>
      <c r="G49" s="75">
        <f>G23</f>
        <v>2300</v>
      </c>
      <c r="H49" s="38">
        <f>F49*G49</f>
        <v>3737.5</v>
      </c>
    </row>
    <row r="50" ht="20.45" customHeight="1" spans="2:8">
      <c r="B50" s="34">
        <v>1.01999998092651</v>
      </c>
      <c r="C50" s="36" t="s">
        <v>578</v>
      </c>
      <c r="D50" s="34"/>
      <c r="E50" s="34"/>
      <c r="F50" s="34"/>
      <c r="G50" s="75"/>
      <c r="H50" s="38">
        <f>H49*2.5/100</f>
        <v>93.4375</v>
      </c>
    </row>
    <row r="51" ht="20.45" customHeight="1" spans="2:8">
      <c r="B51" s="61"/>
      <c r="C51" s="61"/>
      <c r="D51" s="39" t="s">
        <v>579</v>
      </c>
      <c r="E51" s="40">
        <f>$F$47</f>
        <v>1</v>
      </c>
      <c r="F51" s="40" t="str">
        <f>$G$47</f>
        <v>Cube</v>
      </c>
      <c r="G51" s="41"/>
      <c r="H51" s="38">
        <f>SUM(H49)</f>
        <v>3737.5</v>
      </c>
    </row>
    <row r="52" ht="20.45" customHeight="1" spans="2:8">
      <c r="B52" s="61"/>
      <c r="C52" s="61"/>
      <c r="D52" s="39" t="s">
        <v>580</v>
      </c>
      <c r="E52" s="257" t="str">
        <f>$G$47</f>
        <v>Cube</v>
      </c>
      <c r="F52" s="40"/>
      <c r="G52" s="258"/>
      <c r="H52" s="38">
        <f>H51/F47</f>
        <v>3737.5</v>
      </c>
    </row>
    <row r="53" s="4" customFormat="1" ht="20.1" customHeight="1" spans="1:11">
      <c r="A53" s="42"/>
      <c r="B53" s="43"/>
      <c r="C53" s="43"/>
      <c r="D53" s="44" t="s">
        <v>581</v>
      </c>
      <c r="E53" s="45"/>
      <c r="F53" s="45"/>
      <c r="G53" s="46" t="s">
        <v>595</v>
      </c>
      <c r="H53" s="229">
        <f>H52</f>
        <v>3737.5</v>
      </c>
      <c r="K53" s="58"/>
    </row>
    <row r="54" s="4" customFormat="1" ht="20.1" customHeight="1" spans="1:11">
      <c r="A54" s="42"/>
      <c r="B54" s="43"/>
      <c r="C54" s="43"/>
      <c r="D54" s="44" t="s">
        <v>581</v>
      </c>
      <c r="E54" s="45"/>
      <c r="F54" s="45"/>
      <c r="G54" s="46" t="s">
        <v>596</v>
      </c>
      <c r="H54" s="229">
        <f>H53/100</f>
        <v>37.375</v>
      </c>
      <c r="K54" s="58"/>
    </row>
    <row r="55" s="4" customFormat="1" ht="20.1" customHeight="1" spans="1:11">
      <c r="A55" s="42"/>
      <c r="B55" s="43"/>
      <c r="C55" s="43"/>
      <c r="D55" s="44" t="s">
        <v>581</v>
      </c>
      <c r="E55" s="45"/>
      <c r="F55" s="45"/>
      <c r="G55" s="46" t="s">
        <v>597</v>
      </c>
      <c r="H55" s="229">
        <f>ROUND(H53/2.83,0)</f>
        <v>1321</v>
      </c>
      <c r="K55" s="58"/>
    </row>
    <row r="56" ht="21.75" customHeight="1"/>
    <row r="57" s="2" customFormat="1" ht="42" customHeight="1" spans="1:9">
      <c r="A57" s="29" t="s">
        <v>598</v>
      </c>
      <c r="B57" s="29"/>
      <c r="C57" s="259" t="s">
        <v>599</v>
      </c>
      <c r="D57" s="259"/>
      <c r="E57" s="259"/>
      <c r="F57" s="259"/>
      <c r="G57" s="259"/>
      <c r="H57" s="259"/>
      <c r="I57" s="57"/>
    </row>
    <row r="58" s="3" customFormat="1" ht="18" customHeight="1" spans="4:8">
      <c r="D58" s="31"/>
      <c r="E58" s="32" t="s">
        <v>570</v>
      </c>
      <c r="F58" s="31">
        <v>1</v>
      </c>
      <c r="G58" s="32" t="s">
        <v>288</v>
      </c>
      <c r="H58" s="33"/>
    </row>
    <row r="59" ht="15" customHeight="1" spans="2:8">
      <c r="B59" s="34" t="s">
        <v>194</v>
      </c>
      <c r="C59" s="34" t="s">
        <v>573</v>
      </c>
      <c r="D59" s="34" t="s">
        <v>574</v>
      </c>
      <c r="E59" s="34" t="s">
        <v>6</v>
      </c>
      <c r="F59" s="34" t="s">
        <v>575</v>
      </c>
      <c r="G59" s="34" t="s">
        <v>576</v>
      </c>
      <c r="H59" s="35" t="s">
        <v>577</v>
      </c>
    </row>
    <row r="60" ht="20.45" customHeight="1" spans="2:8">
      <c r="B60" s="34">
        <v>1</v>
      </c>
      <c r="C60" s="36" t="s">
        <v>208</v>
      </c>
      <c r="D60" s="34" t="s">
        <v>209</v>
      </c>
      <c r="E60" s="34" t="s">
        <v>175</v>
      </c>
      <c r="F60" s="34">
        <v>1</v>
      </c>
      <c r="G60" s="75">
        <f>'Basic Rates'!J10</f>
        <v>2300</v>
      </c>
      <c r="H60" s="38">
        <f>F60*G60</f>
        <v>2300</v>
      </c>
    </row>
    <row r="61" ht="20.45" customHeight="1" spans="2:8">
      <c r="B61" s="34">
        <v>1.01999998092651</v>
      </c>
      <c r="C61" s="36" t="s">
        <v>578</v>
      </c>
      <c r="D61" s="34"/>
      <c r="E61" s="34"/>
      <c r="F61" s="34"/>
      <c r="G61" s="75"/>
      <c r="H61" s="38">
        <f>H60*2.5/100</f>
        <v>57.5</v>
      </c>
    </row>
    <row r="62" ht="20.45" customHeight="1" spans="2:8">
      <c r="B62" s="61"/>
      <c r="C62" s="61"/>
      <c r="D62" s="39" t="s">
        <v>579</v>
      </c>
      <c r="E62" s="40">
        <f>$F$58</f>
        <v>1</v>
      </c>
      <c r="F62" s="40" t="str">
        <f>$G$58</f>
        <v>Cube</v>
      </c>
      <c r="G62" s="41"/>
      <c r="H62" s="38">
        <f>SUM(H60)</f>
        <v>2300</v>
      </c>
    </row>
    <row r="63" ht="20.45" customHeight="1" spans="2:8">
      <c r="B63" s="61"/>
      <c r="C63" s="61"/>
      <c r="D63" s="39" t="s">
        <v>580</v>
      </c>
      <c r="E63" s="40" t="str">
        <f>$G$58</f>
        <v>Cube</v>
      </c>
      <c r="F63" s="40"/>
      <c r="G63" s="41"/>
      <c r="H63" s="38">
        <f>H62/F58</f>
        <v>2300</v>
      </c>
    </row>
    <row r="64" s="4" customFormat="1" ht="20.1" customHeight="1" spans="1:11">
      <c r="A64" s="42"/>
      <c r="B64" s="43"/>
      <c r="C64" s="43"/>
      <c r="D64" s="44" t="s">
        <v>581</v>
      </c>
      <c r="E64" s="45"/>
      <c r="F64" s="45"/>
      <c r="G64" s="46" t="s">
        <v>595</v>
      </c>
      <c r="H64" s="229">
        <f>H63</f>
        <v>2300</v>
      </c>
      <c r="K64" s="58"/>
    </row>
    <row r="65" s="4" customFormat="1" ht="20.1" customHeight="1" spans="1:11">
      <c r="A65" s="42"/>
      <c r="B65" s="43"/>
      <c r="C65" s="43"/>
      <c r="D65" s="44" t="s">
        <v>581</v>
      </c>
      <c r="E65" s="45"/>
      <c r="F65" s="45"/>
      <c r="G65" s="46" t="s">
        <v>596</v>
      </c>
      <c r="H65" s="229">
        <f>H64/100</f>
        <v>23</v>
      </c>
      <c r="K65" s="58"/>
    </row>
    <row r="66" s="4" customFormat="1" ht="20.1" customHeight="1" spans="1:11">
      <c r="A66" s="42"/>
      <c r="B66" s="43"/>
      <c r="C66" s="43"/>
      <c r="D66" s="44" t="s">
        <v>581</v>
      </c>
      <c r="E66" s="45"/>
      <c r="F66" s="45"/>
      <c r="G66" s="46" t="s">
        <v>597</v>
      </c>
      <c r="H66" s="229">
        <f>ROUND(H64/2.83,0)</f>
        <v>813</v>
      </c>
      <c r="K66" s="58"/>
    </row>
    <row r="67" ht="21.75" customHeight="1"/>
    <row r="68" s="2" customFormat="1" ht="32.25" customHeight="1" spans="1:9">
      <c r="A68" s="29" t="s">
        <v>600</v>
      </c>
      <c r="B68" s="29"/>
      <c r="C68" s="259" t="s">
        <v>601</v>
      </c>
      <c r="D68" s="259"/>
      <c r="E68" s="259"/>
      <c r="F68" s="259"/>
      <c r="G68" s="259"/>
      <c r="H68" s="259"/>
      <c r="I68" s="57"/>
    </row>
    <row r="69" s="3" customFormat="1" ht="15.75" customHeight="1" spans="4:8">
      <c r="D69" s="31"/>
      <c r="E69" s="32" t="s">
        <v>570</v>
      </c>
      <c r="F69" s="31">
        <v>1</v>
      </c>
      <c r="G69" s="32" t="s">
        <v>288</v>
      </c>
      <c r="H69" s="33"/>
    </row>
    <row r="70" ht="15" customHeight="1" spans="2:8">
      <c r="B70" s="34" t="s">
        <v>194</v>
      </c>
      <c r="C70" s="34" t="s">
        <v>573</v>
      </c>
      <c r="D70" s="34" t="s">
        <v>574</v>
      </c>
      <c r="E70" s="34" t="s">
        <v>6</v>
      </c>
      <c r="F70" s="34" t="s">
        <v>575</v>
      </c>
      <c r="G70" s="34" t="s">
        <v>576</v>
      </c>
      <c r="H70" s="35" t="s">
        <v>577</v>
      </c>
    </row>
    <row r="71" ht="20.45" customHeight="1" spans="2:8">
      <c r="B71" s="34">
        <v>1</v>
      </c>
      <c r="C71" s="36" t="s">
        <v>208</v>
      </c>
      <c r="D71" s="34" t="s">
        <v>209</v>
      </c>
      <c r="E71" s="34" t="s">
        <v>175</v>
      </c>
      <c r="F71" s="34">
        <v>2.25</v>
      </c>
      <c r="G71" s="75">
        <f>'Basic Rates'!J10</f>
        <v>2300</v>
      </c>
      <c r="H71" s="38">
        <f>F71*G71</f>
        <v>5175</v>
      </c>
    </row>
    <row r="72" ht="20.45" customHeight="1" spans="2:8">
      <c r="B72" s="34">
        <v>1.01999998092651</v>
      </c>
      <c r="C72" s="36" t="s">
        <v>578</v>
      </c>
      <c r="D72" s="34"/>
      <c r="E72" s="34"/>
      <c r="F72" s="34"/>
      <c r="G72" s="75"/>
      <c r="H72" s="38">
        <f>H71*2.5/100</f>
        <v>129.375</v>
      </c>
    </row>
    <row r="73" ht="20.45" customHeight="1" spans="2:8">
      <c r="B73" s="61"/>
      <c r="C73" s="61"/>
      <c r="D73" s="39" t="s">
        <v>579</v>
      </c>
      <c r="E73" s="40">
        <f>$F$69</f>
        <v>1</v>
      </c>
      <c r="F73" s="40" t="str">
        <f>$G$69</f>
        <v>Cube</v>
      </c>
      <c r="G73" s="41"/>
      <c r="H73" s="38">
        <f>SUM(H71:H72)</f>
        <v>5304.375</v>
      </c>
    </row>
    <row r="74" ht="20.45" customHeight="1" spans="2:8">
      <c r="B74" s="61"/>
      <c r="C74" s="61"/>
      <c r="D74" s="39" t="s">
        <v>580</v>
      </c>
      <c r="E74" s="40" t="str">
        <f>$G$69</f>
        <v>Cube</v>
      </c>
      <c r="F74" s="40"/>
      <c r="G74" s="41"/>
      <c r="H74" s="38">
        <f>H73/F69</f>
        <v>5304.375</v>
      </c>
    </row>
    <row r="75" s="4" customFormat="1" ht="20.1" customHeight="1" spans="1:11">
      <c r="A75" s="42"/>
      <c r="B75" s="43"/>
      <c r="C75" s="43"/>
      <c r="D75" s="44" t="s">
        <v>581</v>
      </c>
      <c r="E75" s="45"/>
      <c r="F75" s="45"/>
      <c r="G75" s="46" t="s">
        <v>595</v>
      </c>
      <c r="H75" s="229">
        <f>H74</f>
        <v>5304.375</v>
      </c>
      <c r="K75" s="58"/>
    </row>
    <row r="76" s="4" customFormat="1" ht="20.1" customHeight="1" spans="1:11">
      <c r="A76" s="42"/>
      <c r="B76" s="43"/>
      <c r="C76" s="43"/>
      <c r="D76" s="44" t="s">
        <v>581</v>
      </c>
      <c r="E76" s="45"/>
      <c r="F76" s="45"/>
      <c r="G76" s="46" t="s">
        <v>596</v>
      </c>
      <c r="H76" s="229">
        <f>H75/100</f>
        <v>53.04375</v>
      </c>
      <c r="K76" s="58"/>
    </row>
    <row r="77" s="4" customFormat="1" ht="20.1" customHeight="1" spans="1:11">
      <c r="A77" s="42"/>
      <c r="B77" s="43"/>
      <c r="C77" s="43"/>
      <c r="D77" s="44" t="s">
        <v>581</v>
      </c>
      <c r="E77" s="45"/>
      <c r="F77" s="45"/>
      <c r="G77" s="46" t="s">
        <v>597</v>
      </c>
      <c r="H77" s="229">
        <f>ROUND(H75/2.83,0)</f>
        <v>1874</v>
      </c>
      <c r="K77" s="58"/>
    </row>
    <row r="78" ht="21.75" customHeight="1"/>
    <row r="79" s="2" customFormat="1" ht="32.25" customHeight="1" spans="1:9">
      <c r="A79" s="29" t="s">
        <v>602</v>
      </c>
      <c r="B79" s="29"/>
      <c r="C79" s="259" t="s">
        <v>603</v>
      </c>
      <c r="D79" s="259"/>
      <c r="E79" s="259"/>
      <c r="F79" s="259"/>
      <c r="G79" s="259"/>
      <c r="H79" s="259"/>
      <c r="I79" s="57"/>
    </row>
    <row r="80" s="3" customFormat="1" ht="15.75" customHeight="1" spans="4:8">
      <c r="D80" s="31"/>
      <c r="E80" s="32" t="s">
        <v>570</v>
      </c>
      <c r="F80" s="31">
        <v>1</v>
      </c>
      <c r="G80" s="32" t="s">
        <v>288</v>
      </c>
      <c r="H80" s="33"/>
    </row>
    <row r="81" ht="15" customHeight="1" spans="2:8">
      <c r="B81" s="34" t="s">
        <v>194</v>
      </c>
      <c r="C81" s="34" t="s">
        <v>573</v>
      </c>
      <c r="D81" s="34" t="s">
        <v>574</v>
      </c>
      <c r="E81" s="34" t="s">
        <v>6</v>
      </c>
      <c r="F81" s="34" t="s">
        <v>575</v>
      </c>
      <c r="G81" s="34" t="s">
        <v>576</v>
      </c>
      <c r="H81" s="35" t="s">
        <v>577</v>
      </c>
    </row>
    <row r="82" ht="20.45" customHeight="1" spans="2:8">
      <c r="B82" s="34">
        <v>1</v>
      </c>
      <c r="C82" s="36" t="s">
        <v>208</v>
      </c>
      <c r="D82" s="34" t="s">
        <v>209</v>
      </c>
      <c r="E82" s="34" t="s">
        <v>175</v>
      </c>
      <c r="F82" s="34">
        <v>3.5</v>
      </c>
      <c r="G82" s="75">
        <f>'Basic Rates'!J10</f>
        <v>2300</v>
      </c>
      <c r="H82" s="38">
        <f>F82*G82</f>
        <v>8050</v>
      </c>
    </row>
    <row r="83" ht="20.45" customHeight="1" spans="2:8">
      <c r="B83" s="34">
        <v>1.01999998092651</v>
      </c>
      <c r="C83" s="36" t="s">
        <v>578</v>
      </c>
      <c r="D83" s="34"/>
      <c r="E83" s="34"/>
      <c r="F83" s="34"/>
      <c r="G83" s="75"/>
      <c r="H83" s="38">
        <f>H82*2.5/100</f>
        <v>201.25</v>
      </c>
    </row>
    <row r="84" ht="20.45" customHeight="1" spans="2:8">
      <c r="B84" s="61"/>
      <c r="C84" s="61"/>
      <c r="D84" s="39" t="s">
        <v>579</v>
      </c>
      <c r="E84" s="40">
        <f>$F$80</f>
        <v>1</v>
      </c>
      <c r="F84" s="40" t="str">
        <f>$G$80</f>
        <v>Cube</v>
      </c>
      <c r="G84" s="41"/>
      <c r="H84" s="38">
        <f>SUM(H82:H83)</f>
        <v>8251.25</v>
      </c>
    </row>
    <row r="85" ht="20.45" customHeight="1" spans="2:8">
      <c r="B85" s="61"/>
      <c r="C85" s="61"/>
      <c r="D85" s="39" t="s">
        <v>580</v>
      </c>
      <c r="E85" s="40" t="str">
        <f>$G$80</f>
        <v>Cube</v>
      </c>
      <c r="F85" s="40"/>
      <c r="G85" s="41"/>
      <c r="H85" s="38">
        <f>H84/F80</f>
        <v>8251.25</v>
      </c>
    </row>
    <row r="86" s="4" customFormat="1" ht="20.1" customHeight="1" spans="1:11">
      <c r="A86" s="42"/>
      <c r="B86" s="43"/>
      <c r="C86" s="43"/>
      <c r="D86" s="44" t="s">
        <v>581</v>
      </c>
      <c r="E86" s="45"/>
      <c r="F86" s="45"/>
      <c r="G86" s="46" t="s">
        <v>595</v>
      </c>
      <c r="H86" s="229">
        <f>H85</f>
        <v>8251.25</v>
      </c>
      <c r="K86" s="58"/>
    </row>
    <row r="87" s="4" customFormat="1" ht="20.1" customHeight="1" spans="1:11">
      <c r="A87" s="42"/>
      <c r="B87" s="43"/>
      <c r="C87" s="43"/>
      <c r="D87" s="44" t="s">
        <v>581</v>
      </c>
      <c r="E87" s="45"/>
      <c r="F87" s="45"/>
      <c r="G87" s="46" t="s">
        <v>596</v>
      </c>
      <c r="H87" s="229">
        <f>H86/100</f>
        <v>82.5125</v>
      </c>
      <c r="K87" s="58"/>
    </row>
    <row r="88" s="4" customFormat="1" ht="20.1" customHeight="1" spans="1:11">
      <c r="A88" s="42"/>
      <c r="B88" s="43"/>
      <c r="C88" s="43"/>
      <c r="D88" s="44" t="s">
        <v>581</v>
      </c>
      <c r="E88" s="45"/>
      <c r="F88" s="45"/>
      <c r="G88" s="46" t="s">
        <v>597</v>
      </c>
      <c r="H88" s="229">
        <f>ROUND(H86/2.83,0)</f>
        <v>2916</v>
      </c>
      <c r="K88" s="58"/>
    </row>
    <row r="89" ht="21.75" customHeight="1"/>
    <row r="90" s="2" customFormat="1" ht="32.25" customHeight="1" spans="1:9">
      <c r="A90" s="29" t="s">
        <v>604</v>
      </c>
      <c r="B90" s="29"/>
      <c r="C90" s="259" t="s">
        <v>605</v>
      </c>
      <c r="D90" s="259"/>
      <c r="E90" s="259"/>
      <c r="F90" s="259"/>
      <c r="G90" s="259"/>
      <c r="H90" s="259"/>
      <c r="I90" s="57"/>
    </row>
    <row r="91" s="3" customFormat="1" ht="15.75" customHeight="1" spans="4:8">
      <c r="D91" s="31"/>
      <c r="E91" s="32" t="s">
        <v>570</v>
      </c>
      <c r="F91" s="31">
        <v>1</v>
      </c>
      <c r="G91" s="32" t="s">
        <v>288</v>
      </c>
      <c r="H91" s="33"/>
    </row>
    <row r="92" ht="15" customHeight="1" spans="2:8">
      <c r="B92" s="34" t="s">
        <v>194</v>
      </c>
      <c r="C92" s="34" t="s">
        <v>573</v>
      </c>
      <c r="D92" s="34" t="s">
        <v>574</v>
      </c>
      <c r="E92" s="34" t="s">
        <v>6</v>
      </c>
      <c r="F92" s="34" t="s">
        <v>575</v>
      </c>
      <c r="G92" s="34" t="s">
        <v>576</v>
      </c>
      <c r="H92" s="35" t="s">
        <v>577</v>
      </c>
    </row>
    <row r="93" ht="20.45" customHeight="1" spans="2:8">
      <c r="B93" s="34">
        <v>1</v>
      </c>
      <c r="C93" s="36" t="s">
        <v>208</v>
      </c>
      <c r="D93" s="34" t="s">
        <v>209</v>
      </c>
      <c r="E93" s="34" t="s">
        <v>175</v>
      </c>
      <c r="F93" s="34">
        <v>3</v>
      </c>
      <c r="G93" s="75">
        <f>'Basic Rates'!J10</f>
        <v>2300</v>
      </c>
      <c r="H93" s="38">
        <f>F93*G93</f>
        <v>6900</v>
      </c>
    </row>
    <row r="94" ht="20.45" customHeight="1" spans="2:8">
      <c r="B94" s="34">
        <v>1.01999998092651</v>
      </c>
      <c r="C94" s="36" t="s">
        <v>578</v>
      </c>
      <c r="D94" s="34"/>
      <c r="E94" s="34"/>
      <c r="F94" s="34"/>
      <c r="G94" s="75"/>
      <c r="H94" s="38">
        <f>H93*2.5/100</f>
        <v>172.5</v>
      </c>
    </row>
    <row r="95" ht="20.45" customHeight="1" spans="2:8">
      <c r="B95" s="61"/>
      <c r="C95" s="61"/>
      <c r="D95" s="39" t="s">
        <v>579</v>
      </c>
      <c r="E95" s="40">
        <f>$F$91</f>
        <v>1</v>
      </c>
      <c r="F95" s="40" t="str">
        <f>$G$91</f>
        <v>Cube</v>
      </c>
      <c r="G95" s="41"/>
      <c r="H95" s="38">
        <f>SUM(H93)</f>
        <v>6900</v>
      </c>
    </row>
    <row r="96" ht="20.45" customHeight="1" spans="2:8">
      <c r="B96" s="61"/>
      <c r="C96" s="61"/>
      <c r="D96" s="39" t="s">
        <v>580</v>
      </c>
      <c r="E96" s="40" t="str">
        <f>$G$91</f>
        <v>Cube</v>
      </c>
      <c r="F96" s="40"/>
      <c r="G96" s="41"/>
      <c r="H96" s="38">
        <f>H95/F91</f>
        <v>6900</v>
      </c>
    </row>
    <row r="97" s="4" customFormat="1" ht="20.1" customHeight="1" spans="1:11">
      <c r="A97" s="42"/>
      <c r="B97" s="43"/>
      <c r="C97" s="43"/>
      <c r="D97" s="44" t="s">
        <v>581</v>
      </c>
      <c r="E97" s="45"/>
      <c r="F97" s="45"/>
      <c r="G97" s="46" t="s">
        <v>595</v>
      </c>
      <c r="H97" s="229">
        <f>H96</f>
        <v>6900</v>
      </c>
      <c r="K97" s="58"/>
    </row>
    <row r="98" s="4" customFormat="1" ht="20.1" customHeight="1" spans="1:11">
      <c r="A98" s="42"/>
      <c r="B98" s="43"/>
      <c r="C98" s="43"/>
      <c r="D98" s="44" t="s">
        <v>581</v>
      </c>
      <c r="E98" s="45"/>
      <c r="F98" s="45"/>
      <c r="G98" s="46" t="s">
        <v>596</v>
      </c>
      <c r="H98" s="229">
        <f>H97/100</f>
        <v>69</v>
      </c>
      <c r="K98" s="58"/>
    </row>
    <row r="99" s="4" customFormat="1" ht="20.1" customHeight="1" spans="1:11">
      <c r="A99" s="42"/>
      <c r="B99" s="43"/>
      <c r="C99" s="43"/>
      <c r="D99" s="44" t="s">
        <v>581</v>
      </c>
      <c r="E99" s="45"/>
      <c r="F99" s="45"/>
      <c r="G99" s="46" t="s">
        <v>597</v>
      </c>
      <c r="H99" s="229">
        <f>ROUND(H97/2.83,0)</f>
        <v>2438</v>
      </c>
      <c r="K99" s="58"/>
    </row>
    <row r="100" ht="21.75" customHeight="1"/>
    <row r="101" s="2" customFormat="1" ht="32.25" customHeight="1" spans="1:9">
      <c r="A101" s="29" t="s">
        <v>606</v>
      </c>
      <c r="B101" s="29"/>
      <c r="C101" s="259" t="s">
        <v>607</v>
      </c>
      <c r="D101" s="259"/>
      <c r="E101" s="259"/>
      <c r="F101" s="259"/>
      <c r="G101" s="259"/>
      <c r="H101" s="259"/>
      <c r="I101" s="57"/>
    </row>
    <row r="102" s="3" customFormat="1" ht="15.75" customHeight="1" spans="4:8">
      <c r="D102" s="31"/>
      <c r="E102" s="32" t="s">
        <v>570</v>
      </c>
      <c r="F102" s="31">
        <v>1</v>
      </c>
      <c r="G102" s="32" t="s">
        <v>288</v>
      </c>
      <c r="H102" s="33"/>
    </row>
    <row r="103" ht="15" customHeight="1" spans="2:8">
      <c r="B103" s="34" t="s">
        <v>194</v>
      </c>
      <c r="C103" s="34" t="s">
        <v>573</v>
      </c>
      <c r="D103" s="34" t="s">
        <v>574</v>
      </c>
      <c r="E103" s="34" t="s">
        <v>6</v>
      </c>
      <c r="F103" s="34" t="s">
        <v>575</v>
      </c>
      <c r="G103" s="34" t="s">
        <v>576</v>
      </c>
      <c r="H103" s="35" t="s">
        <v>577</v>
      </c>
    </row>
    <row r="104" ht="20.1" customHeight="1" spans="2:8">
      <c r="B104" s="34">
        <v>1</v>
      </c>
      <c r="C104" s="36" t="s">
        <v>208</v>
      </c>
      <c r="D104" s="34" t="s">
        <v>209</v>
      </c>
      <c r="E104" s="34" t="s">
        <v>175</v>
      </c>
      <c r="F104" s="34">
        <v>2.5</v>
      </c>
      <c r="G104" s="75">
        <f>'Basic Rates'!J10</f>
        <v>2300</v>
      </c>
      <c r="H104" s="38">
        <f>F104*G104</f>
        <v>5750</v>
      </c>
    </row>
    <row r="105" ht="20.1" customHeight="1" spans="2:8">
      <c r="B105" s="34">
        <v>1.01999998092651</v>
      </c>
      <c r="C105" s="36" t="s">
        <v>578</v>
      </c>
      <c r="D105" s="34"/>
      <c r="E105" s="34"/>
      <c r="F105" s="34"/>
      <c r="G105" s="75"/>
      <c r="H105" s="38">
        <f>H104*2.5/100</f>
        <v>143.75</v>
      </c>
    </row>
    <row r="106" ht="20.1" customHeight="1" spans="2:8">
      <c r="B106" s="61"/>
      <c r="C106" s="61"/>
      <c r="D106" s="39" t="s">
        <v>579</v>
      </c>
      <c r="E106" s="40">
        <f>$F$102</f>
        <v>1</v>
      </c>
      <c r="F106" s="40" t="str">
        <f>$G$102</f>
        <v>Cube</v>
      </c>
      <c r="G106" s="41"/>
      <c r="H106" s="38">
        <f>SUM(H104:H105)</f>
        <v>5893.75</v>
      </c>
    </row>
    <row r="107" ht="20.1" customHeight="1" spans="2:8">
      <c r="B107" s="61"/>
      <c r="C107" s="61"/>
      <c r="D107" s="39" t="s">
        <v>580</v>
      </c>
      <c r="E107" s="40" t="str">
        <f>$G$102</f>
        <v>Cube</v>
      </c>
      <c r="F107" s="40"/>
      <c r="G107" s="41"/>
      <c r="H107" s="38">
        <f>H106/F102</f>
        <v>5893.75</v>
      </c>
    </row>
    <row r="108" s="4" customFormat="1" ht="20.1" customHeight="1" spans="1:11">
      <c r="A108" s="42"/>
      <c r="B108" s="43"/>
      <c r="C108" s="43"/>
      <c r="D108" s="44" t="s">
        <v>581</v>
      </c>
      <c r="E108" s="45"/>
      <c r="F108" s="45"/>
      <c r="G108" s="46" t="s">
        <v>595</v>
      </c>
      <c r="H108" s="229">
        <f>H107</f>
        <v>5893.75</v>
      </c>
      <c r="K108" s="58"/>
    </row>
    <row r="109" s="4" customFormat="1" ht="20.1" customHeight="1" spans="1:11">
      <c r="A109" s="42"/>
      <c r="B109" s="43"/>
      <c r="C109" s="43"/>
      <c r="D109" s="44" t="s">
        <v>581</v>
      </c>
      <c r="E109" s="45"/>
      <c r="F109" s="45"/>
      <c r="G109" s="46" t="s">
        <v>596</v>
      </c>
      <c r="H109" s="229">
        <f>H108/100</f>
        <v>58.9375</v>
      </c>
      <c r="K109" s="58"/>
    </row>
    <row r="110" s="4" customFormat="1" ht="20.1" customHeight="1" spans="1:11">
      <c r="A110" s="42"/>
      <c r="B110" s="43"/>
      <c r="C110" s="43"/>
      <c r="D110" s="44" t="s">
        <v>581</v>
      </c>
      <c r="E110" s="45"/>
      <c r="F110" s="45"/>
      <c r="G110" s="46" t="s">
        <v>597</v>
      </c>
      <c r="H110" s="229">
        <f>H108/2.83</f>
        <v>2082.59717314488</v>
      </c>
      <c r="K110" s="58"/>
    </row>
    <row r="111" ht="21.75" customHeight="1"/>
    <row r="112" s="2" customFormat="1" ht="32.25" customHeight="1" spans="1:9">
      <c r="A112" s="29" t="s">
        <v>608</v>
      </c>
      <c r="B112" s="29"/>
      <c r="C112" s="259" t="s">
        <v>609</v>
      </c>
      <c r="D112" s="259"/>
      <c r="E112" s="259"/>
      <c r="F112" s="259"/>
      <c r="G112" s="259"/>
      <c r="H112" s="259"/>
      <c r="I112" s="57"/>
    </row>
    <row r="113" s="3" customFormat="1" ht="15.75" customHeight="1" spans="4:8">
      <c r="D113" s="31"/>
      <c r="E113" s="32" t="s">
        <v>570</v>
      </c>
      <c r="F113" s="31">
        <v>1</v>
      </c>
      <c r="G113" s="32" t="s">
        <v>288</v>
      </c>
      <c r="H113" s="33"/>
    </row>
    <row r="114" ht="15" customHeight="1" spans="2:8">
      <c r="B114" s="34" t="s">
        <v>194</v>
      </c>
      <c r="C114" s="34" t="s">
        <v>573</v>
      </c>
      <c r="D114" s="34" t="s">
        <v>574</v>
      </c>
      <c r="E114" s="34" t="s">
        <v>6</v>
      </c>
      <c r="F114" s="34" t="s">
        <v>575</v>
      </c>
      <c r="G114" s="34" t="s">
        <v>576</v>
      </c>
      <c r="H114" s="35" t="s">
        <v>577</v>
      </c>
    </row>
    <row r="115" ht="20.45" customHeight="1" spans="2:8">
      <c r="B115" s="34">
        <v>1</v>
      </c>
      <c r="C115" s="36" t="s">
        <v>206</v>
      </c>
      <c r="D115" s="34" t="s">
        <v>207</v>
      </c>
      <c r="E115" s="34" t="s">
        <v>199</v>
      </c>
      <c r="F115" s="34">
        <v>0.75</v>
      </c>
      <c r="G115" s="75">
        <f>'Basic Rates'!E10</f>
        <v>200</v>
      </c>
      <c r="H115" s="38">
        <f>F115*G115</f>
        <v>150</v>
      </c>
    </row>
    <row r="116" ht="20.45" customHeight="1" spans="2:8">
      <c r="B116" s="34">
        <v>1.00999999046326</v>
      </c>
      <c r="C116" s="36" t="s">
        <v>306</v>
      </c>
      <c r="D116" s="34" t="s">
        <v>307</v>
      </c>
      <c r="E116" s="34" t="s">
        <v>308</v>
      </c>
      <c r="F116" s="34">
        <v>10</v>
      </c>
      <c r="G116" s="75">
        <f>'Basic Rates'!E54</f>
        <v>10</v>
      </c>
      <c r="H116" s="38">
        <f>F116*G116</f>
        <v>100</v>
      </c>
    </row>
    <row r="117" ht="20.45" customHeight="1" spans="2:8">
      <c r="B117" s="34">
        <v>1.01999998092651</v>
      </c>
      <c r="C117" s="36" t="s">
        <v>330</v>
      </c>
      <c r="D117" s="34" t="s">
        <v>331</v>
      </c>
      <c r="E117" s="34" t="s">
        <v>199</v>
      </c>
      <c r="F117" s="34">
        <v>1</v>
      </c>
      <c r="G117" s="75">
        <f>'Basic Rates'!E65</f>
        <v>65</v>
      </c>
      <c r="H117" s="38">
        <f>F117*G117</f>
        <v>65</v>
      </c>
    </row>
    <row r="118" ht="27" customHeight="1" spans="2:8">
      <c r="B118" s="34">
        <v>1.02999997138977</v>
      </c>
      <c r="C118" s="36" t="s">
        <v>610</v>
      </c>
      <c r="D118" s="34"/>
      <c r="E118" s="34"/>
      <c r="F118" s="34"/>
      <c r="G118" s="75"/>
      <c r="H118" s="38">
        <f>SUM(H115:H117)*0.2</f>
        <v>63</v>
      </c>
    </row>
    <row r="119" ht="20.45" customHeight="1" spans="2:8">
      <c r="B119" s="34">
        <v>1.03999996185303</v>
      </c>
      <c r="C119" s="36" t="s">
        <v>188</v>
      </c>
      <c r="D119" s="34" t="s">
        <v>189</v>
      </c>
      <c r="E119" s="34" t="s">
        <v>175</v>
      </c>
      <c r="F119" s="34">
        <v>1</v>
      </c>
      <c r="G119" s="75">
        <f>'Basic Rates'!J6</f>
        <v>3500</v>
      </c>
      <c r="H119" s="38">
        <f>F119*G119</f>
        <v>3500</v>
      </c>
    </row>
    <row r="120" ht="20.45" customHeight="1" spans="2:8">
      <c r="B120" s="34">
        <v>1.04999995231628</v>
      </c>
      <c r="C120" s="36" t="s">
        <v>208</v>
      </c>
      <c r="D120" s="34" t="s">
        <v>209</v>
      </c>
      <c r="E120" s="34" t="s">
        <v>175</v>
      </c>
      <c r="F120" s="34">
        <v>2</v>
      </c>
      <c r="G120" s="75">
        <f>'Basic Rates'!J10</f>
        <v>2300</v>
      </c>
      <c r="H120" s="38">
        <f>F120*G120</f>
        <v>4600</v>
      </c>
    </row>
    <row r="121" ht="20.45" customHeight="1" spans="2:8">
      <c r="B121" s="61"/>
      <c r="C121" s="61"/>
      <c r="D121" s="39" t="s">
        <v>579</v>
      </c>
      <c r="E121" s="40">
        <f>$F$113</f>
        <v>1</v>
      </c>
      <c r="F121" s="40" t="str">
        <f>$G$113</f>
        <v>Cube</v>
      </c>
      <c r="G121" s="41"/>
      <c r="H121" s="38">
        <f>SUM(H115:H120)</f>
        <v>8478</v>
      </c>
    </row>
    <row r="122" ht="20.45" customHeight="1" spans="2:8">
      <c r="B122" s="61"/>
      <c r="C122" s="61"/>
      <c r="D122" s="39" t="s">
        <v>580</v>
      </c>
      <c r="E122" s="40" t="str">
        <f>$G$113</f>
        <v>Cube</v>
      </c>
      <c r="F122" s="40"/>
      <c r="G122" s="41"/>
      <c r="H122" s="38">
        <f>H121/F113</f>
        <v>8478</v>
      </c>
    </row>
    <row r="123" s="4" customFormat="1" ht="20.1" customHeight="1" spans="1:11">
      <c r="A123" s="42"/>
      <c r="B123" s="43"/>
      <c r="C123" s="43"/>
      <c r="D123" s="44" t="s">
        <v>581</v>
      </c>
      <c r="E123" s="45"/>
      <c r="F123" s="45"/>
      <c r="G123" s="46" t="s">
        <v>595</v>
      </c>
      <c r="H123" s="229">
        <f>H122</f>
        <v>8478</v>
      </c>
      <c r="K123" s="58"/>
    </row>
    <row r="124" s="4" customFormat="1" ht="20.1" customHeight="1" spans="1:11">
      <c r="A124" s="42"/>
      <c r="B124" s="43"/>
      <c r="C124" s="43"/>
      <c r="D124" s="44" t="s">
        <v>581</v>
      </c>
      <c r="E124" s="45"/>
      <c r="F124" s="45"/>
      <c r="G124" s="46" t="s">
        <v>596</v>
      </c>
      <c r="H124" s="229">
        <f>H123/100</f>
        <v>84.78</v>
      </c>
      <c r="K124" s="58"/>
    </row>
    <row r="125" s="4" customFormat="1" ht="20.1" customHeight="1" spans="1:11">
      <c r="A125" s="42"/>
      <c r="B125" s="43"/>
      <c r="C125" s="43"/>
      <c r="D125" s="44" t="s">
        <v>581</v>
      </c>
      <c r="E125" s="45"/>
      <c r="F125" s="45"/>
      <c r="G125" s="46" t="s">
        <v>597</v>
      </c>
      <c r="H125" s="229">
        <f>ROUND(H123/2.83,0)</f>
        <v>2996</v>
      </c>
      <c r="K125" s="58"/>
    </row>
    <row r="126" s="5" customFormat="1" ht="20.1" customHeight="1" spans="1:11">
      <c r="A126" s="62"/>
      <c r="B126" s="63"/>
      <c r="C126" s="63"/>
      <c r="D126" s="64"/>
      <c r="E126" s="65"/>
      <c r="F126" s="65"/>
      <c r="G126" s="66"/>
      <c r="H126" s="243"/>
      <c r="K126" s="69"/>
    </row>
    <row r="127" s="2" customFormat="1" ht="21" customHeight="1" spans="1:9">
      <c r="A127" s="29" t="s">
        <v>611</v>
      </c>
      <c r="B127" s="29"/>
      <c r="C127" s="259" t="s">
        <v>612</v>
      </c>
      <c r="D127" s="259"/>
      <c r="E127" s="259"/>
      <c r="F127" s="259"/>
      <c r="G127" s="259"/>
      <c r="H127" s="259"/>
      <c r="I127" s="57"/>
    </row>
    <row r="128" s="3" customFormat="1" ht="15.75" customHeight="1" spans="4:8">
      <c r="D128" s="31"/>
      <c r="E128" s="32" t="s">
        <v>570</v>
      </c>
      <c r="F128" s="31">
        <v>10</v>
      </c>
      <c r="G128" s="32" t="s">
        <v>187</v>
      </c>
      <c r="H128" s="33"/>
    </row>
    <row r="129" ht="15" customHeight="1" spans="2:8">
      <c r="B129" s="34" t="s">
        <v>194</v>
      </c>
      <c r="C129" s="34" t="s">
        <v>573</v>
      </c>
      <c r="D129" s="34" t="s">
        <v>574</v>
      </c>
      <c r="E129" s="34" t="s">
        <v>6</v>
      </c>
      <c r="F129" s="34" t="s">
        <v>575</v>
      </c>
      <c r="G129" s="34" t="s">
        <v>576</v>
      </c>
      <c r="H129" s="35" t="s">
        <v>577</v>
      </c>
    </row>
    <row r="130" ht="20.45" customHeight="1" spans="2:8">
      <c r="B130" s="34">
        <v>1</v>
      </c>
      <c r="C130" s="36" t="s">
        <v>188</v>
      </c>
      <c r="D130" s="34" t="s">
        <v>189</v>
      </c>
      <c r="E130" s="34" t="s">
        <v>175</v>
      </c>
      <c r="F130" s="34">
        <v>1.5</v>
      </c>
      <c r="G130" s="75">
        <f>'Basic Rates'!J6</f>
        <v>3500</v>
      </c>
      <c r="H130" s="38">
        <f>F130*G130</f>
        <v>5250</v>
      </c>
    </row>
    <row r="131" ht="32.25" customHeight="1" spans="2:8">
      <c r="B131" s="34">
        <v>1.00999999046326</v>
      </c>
      <c r="C131" s="36" t="s">
        <v>613</v>
      </c>
      <c r="D131" s="34"/>
      <c r="E131" s="34"/>
      <c r="F131" s="34"/>
      <c r="G131" s="75"/>
      <c r="H131" s="38">
        <f>H130*0.25</f>
        <v>1312.5</v>
      </c>
    </row>
    <row r="132" ht="20.45" customHeight="1" spans="2:8">
      <c r="B132" s="34">
        <v>1.01999998092651</v>
      </c>
      <c r="C132" s="36" t="s">
        <v>208</v>
      </c>
      <c r="D132" s="34" t="s">
        <v>209</v>
      </c>
      <c r="E132" s="34" t="s">
        <v>175</v>
      </c>
      <c r="F132" s="34">
        <v>0.5</v>
      </c>
      <c r="G132" s="75">
        <f>'Basic Rates'!$J$10</f>
        <v>2300</v>
      </c>
      <c r="H132" s="38">
        <f>F132*G132</f>
        <v>1150</v>
      </c>
    </row>
    <row r="133" ht="20.45" customHeight="1" spans="2:8">
      <c r="B133" s="61"/>
      <c r="C133" s="61"/>
      <c r="D133" s="39" t="s">
        <v>579</v>
      </c>
      <c r="E133" s="40">
        <f>$F$128</f>
        <v>10</v>
      </c>
      <c r="F133" s="40" t="str">
        <f>$G$128</f>
        <v>Sq.ft</v>
      </c>
      <c r="G133" s="41"/>
      <c r="H133" s="38">
        <f>SUM(H130:H132)</f>
        <v>7712.5</v>
      </c>
    </row>
    <row r="134" ht="20.45" customHeight="1" spans="2:8">
      <c r="B134" s="61"/>
      <c r="C134" s="61"/>
      <c r="D134" s="39" t="s">
        <v>580</v>
      </c>
      <c r="E134" s="40" t="str">
        <f>$G$128</f>
        <v>Sq.ft</v>
      </c>
      <c r="F134" s="40"/>
      <c r="G134" s="41"/>
      <c r="H134" s="38">
        <f>H133/F128</f>
        <v>771.25</v>
      </c>
    </row>
    <row r="135" s="4" customFormat="1" ht="20.1" customHeight="1" spans="1:11">
      <c r="A135" s="42"/>
      <c r="B135" s="43"/>
      <c r="C135" s="43"/>
      <c r="D135" s="44" t="s">
        <v>581</v>
      </c>
      <c r="E135" s="45"/>
      <c r="F135" s="45"/>
      <c r="G135" s="46" t="s">
        <v>614</v>
      </c>
      <c r="H135" s="229">
        <f>H134</f>
        <v>771.25</v>
      </c>
      <c r="K135" s="58"/>
    </row>
    <row r="136" s="4" customFormat="1" ht="20.1" customHeight="1" spans="1:11">
      <c r="A136" s="42"/>
      <c r="B136" s="43"/>
      <c r="C136" s="43"/>
      <c r="D136" s="44" t="s">
        <v>581</v>
      </c>
      <c r="E136" s="45"/>
      <c r="F136" s="45"/>
      <c r="G136" s="46" t="s">
        <v>584</v>
      </c>
      <c r="H136" s="229">
        <f>H135*10.76</f>
        <v>8298.65</v>
      </c>
      <c r="K136" s="58"/>
    </row>
    <row r="137" ht="21.75" customHeight="1"/>
    <row r="138" ht="21.75" customHeight="1"/>
    <row r="139" s="2" customFormat="1" ht="19.5" customHeight="1" spans="1:9">
      <c r="A139" s="29" t="s">
        <v>615</v>
      </c>
      <c r="B139" s="29"/>
      <c r="C139" s="259" t="s">
        <v>616</v>
      </c>
      <c r="D139" s="259"/>
      <c r="E139" s="259"/>
      <c r="F139" s="259"/>
      <c r="G139" s="259"/>
      <c r="H139" s="259"/>
      <c r="I139" s="57"/>
    </row>
    <row r="140" s="3" customFormat="1" ht="15.75" customHeight="1" spans="5:8">
      <c r="E140" s="32" t="s">
        <v>570</v>
      </c>
      <c r="F140" s="32">
        <v>1</v>
      </c>
      <c r="G140" s="31" t="s">
        <v>288</v>
      </c>
      <c r="H140" s="33"/>
    </row>
    <row r="141" ht="15" customHeight="1" spans="2:8">
      <c r="B141" s="34" t="s">
        <v>194</v>
      </c>
      <c r="C141" s="34" t="s">
        <v>573</v>
      </c>
      <c r="D141" s="34" t="s">
        <v>574</v>
      </c>
      <c r="E141" s="34" t="s">
        <v>6</v>
      </c>
      <c r="F141" s="34" t="s">
        <v>575</v>
      </c>
      <c r="G141" s="34" t="s">
        <v>576</v>
      </c>
      <c r="H141" s="35" t="s">
        <v>577</v>
      </c>
    </row>
    <row r="142" ht="20.45" customHeight="1" spans="2:8">
      <c r="B142" s="34">
        <v>1.00999999046326</v>
      </c>
      <c r="C142" s="36" t="s">
        <v>617</v>
      </c>
      <c r="D142" s="34" t="s">
        <v>189</v>
      </c>
      <c r="E142" s="34" t="s">
        <v>175</v>
      </c>
      <c r="F142" s="34">
        <v>3</v>
      </c>
      <c r="G142" s="75">
        <f>'Basic Rates'!J6</f>
        <v>3500</v>
      </c>
      <c r="H142" s="38">
        <f>G142*F142</f>
        <v>10500</v>
      </c>
    </row>
    <row r="143" ht="20.45" customHeight="1" spans="2:8">
      <c r="B143" s="34">
        <v>1.02999997138977</v>
      </c>
      <c r="C143" s="36" t="s">
        <v>618</v>
      </c>
      <c r="D143" s="34"/>
      <c r="E143" s="34"/>
      <c r="F143" s="34"/>
      <c r="G143" s="75"/>
      <c r="H143" s="38">
        <f>H142*2.5/100</f>
        <v>262.5</v>
      </c>
    </row>
    <row r="144" ht="20.45" customHeight="1" spans="2:8">
      <c r="B144" s="34">
        <v>1.03999996185303</v>
      </c>
      <c r="C144" s="36" t="s">
        <v>619</v>
      </c>
      <c r="D144" s="34" t="s">
        <v>305</v>
      </c>
      <c r="E144" s="34" t="s">
        <v>281</v>
      </c>
      <c r="F144" s="34">
        <v>0.25</v>
      </c>
      <c r="G144" s="75">
        <f>'Basic Rates'!E53</f>
        <v>100</v>
      </c>
      <c r="H144" s="38">
        <f>G144*F144</f>
        <v>25</v>
      </c>
    </row>
    <row r="145" ht="20.45" customHeight="1" spans="2:8">
      <c r="B145" s="34">
        <v>1.04999995231628</v>
      </c>
      <c r="C145" s="36" t="s">
        <v>620</v>
      </c>
      <c r="D145" s="34" t="s">
        <v>207</v>
      </c>
      <c r="E145" s="34" t="s">
        <v>621</v>
      </c>
      <c r="F145" s="34">
        <v>0.68</v>
      </c>
      <c r="G145" s="75">
        <f>'Basic Rates'!E10</f>
        <v>200</v>
      </c>
      <c r="H145" s="38">
        <f>G145*F145</f>
        <v>136</v>
      </c>
    </row>
    <row r="146" ht="20.45" customHeight="1" spans="2:8">
      <c r="B146" s="34">
        <v>1.05999994277954</v>
      </c>
      <c r="C146" s="36" t="s">
        <v>306</v>
      </c>
      <c r="D146" s="34" t="s">
        <v>307</v>
      </c>
      <c r="E146" s="34" t="s">
        <v>308</v>
      </c>
      <c r="F146" s="34">
        <v>3.05</v>
      </c>
      <c r="G146" s="75">
        <f>'Basic Rates'!E54</f>
        <v>10</v>
      </c>
      <c r="H146" s="38">
        <f>G146*F146</f>
        <v>30.5</v>
      </c>
    </row>
    <row r="147" ht="20.45" customHeight="1" spans="2:8">
      <c r="B147" s="34">
        <v>1.07000005245209</v>
      </c>
      <c r="C147" s="36" t="s">
        <v>622</v>
      </c>
      <c r="D147" s="34" t="s">
        <v>331</v>
      </c>
      <c r="E147" s="34" t="s">
        <v>621</v>
      </c>
      <c r="F147" s="34">
        <v>0.45</v>
      </c>
      <c r="G147" s="75">
        <f>'Basic Rates'!E95</f>
        <v>46</v>
      </c>
      <c r="H147" s="38">
        <f>G147*F147</f>
        <v>20.7</v>
      </c>
    </row>
    <row r="148" ht="20.45" customHeight="1" spans="2:8">
      <c r="B148" s="61"/>
      <c r="C148" s="61"/>
      <c r="D148" s="39" t="s">
        <v>579</v>
      </c>
      <c r="E148" s="40">
        <f>$F$102</f>
        <v>1</v>
      </c>
      <c r="F148" s="40" t="str">
        <f>$G$102</f>
        <v>Cube</v>
      </c>
      <c r="G148" s="41"/>
      <c r="H148" s="38">
        <f>SUM(H142:H147)</f>
        <v>10974.7</v>
      </c>
    </row>
    <row r="149" ht="20.45" customHeight="1" spans="2:8">
      <c r="B149" s="61"/>
      <c r="C149" s="61"/>
      <c r="D149" s="39" t="s">
        <v>580</v>
      </c>
      <c r="E149" s="40" t="str">
        <f>$G$102</f>
        <v>Cube</v>
      </c>
      <c r="F149" s="40"/>
      <c r="G149" s="41"/>
      <c r="H149" s="38">
        <f>H148/F140</f>
        <v>10974.7</v>
      </c>
    </row>
    <row r="150" s="4" customFormat="1" ht="20.1" customHeight="1" spans="1:11">
      <c r="A150" s="42"/>
      <c r="B150" s="43"/>
      <c r="C150" s="43"/>
      <c r="D150" s="44" t="s">
        <v>581</v>
      </c>
      <c r="E150" s="45"/>
      <c r="F150" s="45"/>
      <c r="G150" s="46" t="s">
        <v>595</v>
      </c>
      <c r="H150" s="229">
        <f>H149</f>
        <v>10974.7</v>
      </c>
      <c r="K150" s="58"/>
    </row>
    <row r="151" s="4" customFormat="1" ht="20.1" customHeight="1" spans="1:11">
      <c r="A151" s="42"/>
      <c r="B151" s="43"/>
      <c r="C151" s="43"/>
      <c r="D151" s="44" t="s">
        <v>581</v>
      </c>
      <c r="E151" s="45"/>
      <c r="F151" s="45"/>
      <c r="G151" s="46" t="s">
        <v>596</v>
      </c>
      <c r="H151" s="229">
        <f>H150/100</f>
        <v>109.747</v>
      </c>
      <c r="K151" s="58"/>
    </row>
    <row r="152" s="4" customFormat="1" ht="20.1" customHeight="1" spans="1:11">
      <c r="A152" s="42"/>
      <c r="B152" s="43"/>
      <c r="C152" s="43"/>
      <c r="D152" s="44" t="s">
        <v>581</v>
      </c>
      <c r="E152" s="45"/>
      <c r="F152" s="45"/>
      <c r="G152" s="46" t="s">
        <v>597</v>
      </c>
      <c r="H152" s="229">
        <f>ROUND(H150/2.83,0)</f>
        <v>3878</v>
      </c>
      <c r="K152" s="58"/>
    </row>
    <row r="154" s="4" customFormat="1" spans="4:8">
      <c r="D154" s="146"/>
      <c r="E154" s="147"/>
      <c r="F154" s="147"/>
      <c r="G154" s="148"/>
      <c r="H154" s="149"/>
    </row>
  </sheetData>
  <mergeCells count="27">
    <mergeCell ref="A2:H2"/>
    <mergeCell ref="A7:H7"/>
    <mergeCell ref="A9:B9"/>
    <mergeCell ref="C9:H9"/>
    <mergeCell ref="A20:B20"/>
    <mergeCell ref="C20:H20"/>
    <mergeCell ref="A33:B33"/>
    <mergeCell ref="C33:H33"/>
    <mergeCell ref="A44:H44"/>
    <mergeCell ref="A46:B46"/>
    <mergeCell ref="C46:H46"/>
    <mergeCell ref="A57:B57"/>
    <mergeCell ref="C57:H57"/>
    <mergeCell ref="A68:B68"/>
    <mergeCell ref="C68:H68"/>
    <mergeCell ref="A79:B79"/>
    <mergeCell ref="C79:H79"/>
    <mergeCell ref="A90:B90"/>
    <mergeCell ref="C90:H90"/>
    <mergeCell ref="A101:B101"/>
    <mergeCell ref="C101:H101"/>
    <mergeCell ref="A112:B112"/>
    <mergeCell ref="C112:H112"/>
    <mergeCell ref="A127:B127"/>
    <mergeCell ref="C127:H127"/>
    <mergeCell ref="A139:B139"/>
    <mergeCell ref="C139:H139"/>
  </mergeCells>
  <hyperlinks>
    <hyperlink ref="C4" location="'01'!I15" display="Site Preparation"/>
    <hyperlink ref="C5" location="'01'!I55" display="Excavation"/>
  </hyperlinks>
  <printOptions horizontalCentered="1"/>
  <pageMargins left="0.75" right="0.5" top="0.5" bottom="0.5" header="0.25" footer="0.25"/>
  <pageSetup paperSize="9" orientation="portrait" horizontalDpi="300" verticalDpi="300"/>
  <headerFooter alignWithMargins="0">
    <oddHeader>&amp;R&amp;8 Page &amp;P Of &amp;N</oddHeader>
    <oddFooter>&amp;L&amp;8SDS&amp;R&amp;D</oddFooter>
  </headerFooter>
  <rowBreaks count="1" manualBreakCount="1">
    <brk id="67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indexed="60"/>
  </sheetPr>
  <dimension ref="A1:K117"/>
  <sheetViews>
    <sheetView topLeftCell="A13" workbookViewId="0">
      <selection activeCell="G113" sqref="G113"/>
    </sheetView>
  </sheetViews>
  <sheetFormatPr defaultColWidth="9" defaultRowHeight="12.75"/>
  <cols>
    <col min="1" max="1" width="3" style="6" customWidth="1"/>
    <col min="2" max="2" width="4.85714285714286" style="6" customWidth="1"/>
    <col min="3" max="3" width="34.7142857142857" style="6" customWidth="1"/>
    <col min="4" max="4" width="8.71428571428571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16384" width="9.14285714285714" style="6"/>
  </cols>
  <sheetData>
    <row r="1" s="4" customFormat="1" ht="9" customHeight="1" spans="4:8">
      <c r="D1" s="146"/>
      <c r="E1" s="147"/>
      <c r="F1" s="147"/>
      <c r="G1" s="148"/>
      <c r="H1" s="149"/>
    </row>
    <row r="2" ht="20.1" customHeight="1" spans="1:9">
      <c r="A2" s="235" t="s">
        <v>623</v>
      </c>
      <c r="B2" s="235"/>
      <c r="C2" s="235"/>
      <c r="D2" s="235"/>
      <c r="E2" s="235"/>
      <c r="F2" s="235"/>
      <c r="G2" s="235"/>
      <c r="H2" s="235"/>
      <c r="I2" s="54"/>
    </row>
    <row r="3" s="1" customFormat="1" ht="20.1" customHeight="1" spans="2:9">
      <c r="B3" s="236" t="s">
        <v>564</v>
      </c>
      <c r="C3" s="237" t="s">
        <v>624</v>
      </c>
      <c r="D3" s="179"/>
      <c r="E3" s="179"/>
      <c r="F3" s="179"/>
      <c r="G3" s="179"/>
      <c r="H3" s="238"/>
      <c r="I3" s="55"/>
    </row>
    <row r="4" s="1" customFormat="1" ht="20.1" customHeight="1" spans="2:9">
      <c r="B4" s="236" t="s">
        <v>566</v>
      </c>
      <c r="C4" s="239" t="s">
        <v>625</v>
      </c>
      <c r="D4" s="179"/>
      <c r="E4" s="179"/>
      <c r="F4" s="179"/>
      <c r="G4" s="179"/>
      <c r="H4" s="238"/>
      <c r="I4" s="55"/>
    </row>
    <row r="5" ht="17.25" customHeight="1"/>
    <row r="6" s="1" customFormat="1" ht="20.25" customHeight="1" spans="1:9">
      <c r="A6" s="59" t="s">
        <v>626</v>
      </c>
      <c r="B6" s="22"/>
      <c r="C6" s="22"/>
      <c r="D6" s="22"/>
      <c r="E6" s="22"/>
      <c r="F6" s="22"/>
      <c r="G6" s="22"/>
      <c r="H6" s="60"/>
      <c r="I6" s="56"/>
    </row>
    <row r="7" ht="9" customHeight="1"/>
    <row r="8" s="2" customFormat="1" ht="21" customHeight="1" spans="1:9">
      <c r="A8" s="73" t="s">
        <v>627</v>
      </c>
      <c r="B8" s="74"/>
      <c r="C8" s="30" t="s">
        <v>628</v>
      </c>
      <c r="D8" s="30"/>
      <c r="E8" s="30"/>
      <c r="F8" s="30"/>
      <c r="G8" s="30"/>
      <c r="H8" s="30"/>
      <c r="I8" s="57"/>
    </row>
    <row r="9" s="3" customFormat="1" ht="18" customHeight="1" spans="4:8">
      <c r="D9" s="31"/>
      <c r="E9" s="32" t="s">
        <v>570</v>
      </c>
      <c r="F9" s="31">
        <v>1</v>
      </c>
      <c r="G9" s="32" t="s">
        <v>288</v>
      </c>
      <c r="H9" s="33"/>
    </row>
    <row r="10" ht="15" customHeight="1" spans="2:8">
      <c r="B10" s="34" t="s">
        <v>194</v>
      </c>
      <c r="C10" s="34" t="s">
        <v>573</v>
      </c>
      <c r="D10" s="34" t="s">
        <v>574</v>
      </c>
      <c r="E10" s="34" t="s">
        <v>6</v>
      </c>
      <c r="F10" s="34" t="s">
        <v>575</v>
      </c>
      <c r="G10" s="34" t="s">
        <v>576</v>
      </c>
      <c r="H10" s="35" t="s">
        <v>577</v>
      </c>
    </row>
    <row r="11" ht="20.45" customHeight="1" spans="2:8">
      <c r="B11" s="34">
        <v>1</v>
      </c>
      <c r="C11" s="36" t="s">
        <v>208</v>
      </c>
      <c r="D11" s="34" t="s">
        <v>209</v>
      </c>
      <c r="E11" s="34" t="s">
        <v>175</v>
      </c>
      <c r="F11" s="34">
        <v>1</v>
      </c>
      <c r="G11" s="75">
        <f>'Basic Rates'!J10</f>
        <v>2300</v>
      </c>
      <c r="H11" s="38">
        <f>F11*G11</f>
        <v>2300</v>
      </c>
    </row>
    <row r="12" ht="20.45" customHeight="1" spans="2:8">
      <c r="B12" s="34">
        <v>1.01999998092651</v>
      </c>
      <c r="C12" s="36" t="s">
        <v>629</v>
      </c>
      <c r="D12" s="34"/>
      <c r="E12" s="34"/>
      <c r="F12" s="34"/>
      <c r="G12" s="75"/>
      <c r="H12" s="38">
        <f>H11*2.5/100</f>
        <v>57.5</v>
      </c>
    </row>
    <row r="13" ht="20.45" customHeight="1" spans="2:8">
      <c r="B13" s="61"/>
      <c r="C13" s="61"/>
      <c r="D13" s="39" t="s">
        <v>579</v>
      </c>
      <c r="E13" s="40">
        <f>$F$9</f>
        <v>1</v>
      </c>
      <c r="F13" s="40" t="str">
        <f>$G$9</f>
        <v>Cube</v>
      </c>
      <c r="G13" s="41"/>
      <c r="H13" s="38">
        <f>SUM(H11:H12)</f>
        <v>2357.5</v>
      </c>
    </row>
    <row r="14" ht="20.45" customHeight="1" spans="2:8">
      <c r="B14" s="61"/>
      <c r="C14" s="61"/>
      <c r="D14" s="39" t="s">
        <v>580</v>
      </c>
      <c r="E14" s="40" t="str">
        <f>$G$9</f>
        <v>Cube</v>
      </c>
      <c r="F14" s="40"/>
      <c r="G14" s="41"/>
      <c r="H14" s="38">
        <f>H13/F9</f>
        <v>2357.5</v>
      </c>
    </row>
    <row r="15" s="4" customFormat="1" ht="20.1" customHeight="1" spans="1:11">
      <c r="A15" s="42"/>
      <c r="B15" s="43"/>
      <c r="C15" s="43"/>
      <c r="D15" s="44" t="s">
        <v>581</v>
      </c>
      <c r="E15" s="45"/>
      <c r="F15" s="45"/>
      <c r="G15" s="46" t="s">
        <v>595</v>
      </c>
      <c r="H15" s="229">
        <f>H14</f>
        <v>2357.5</v>
      </c>
      <c r="K15" s="58"/>
    </row>
    <row r="16" s="4" customFormat="1" ht="20.1" customHeight="1" spans="1:11">
      <c r="A16" s="42"/>
      <c r="B16" s="43"/>
      <c r="C16" s="43"/>
      <c r="D16" s="44" t="s">
        <v>581</v>
      </c>
      <c r="E16" s="45"/>
      <c r="F16" s="45"/>
      <c r="G16" s="46" t="s">
        <v>630</v>
      </c>
      <c r="H16" s="229">
        <f>H15/100</f>
        <v>23.575</v>
      </c>
      <c r="K16" s="58"/>
    </row>
    <row r="17" s="4" customFormat="1" ht="20.1" customHeight="1" spans="1:11">
      <c r="A17" s="42"/>
      <c r="B17" s="43"/>
      <c r="C17" s="43"/>
      <c r="D17" s="44" t="s">
        <v>581</v>
      </c>
      <c r="E17" s="45"/>
      <c r="F17" s="45"/>
      <c r="G17" s="46" t="s">
        <v>597</v>
      </c>
      <c r="H17" s="229">
        <f>ROUND(H15/2.83,0)</f>
        <v>833</v>
      </c>
      <c r="K17" s="58"/>
    </row>
    <row r="18" ht="22.7" customHeight="1" spans="1:9">
      <c r="A18" s="240"/>
      <c r="B18" s="240"/>
      <c r="C18" s="241"/>
      <c r="D18" s="241"/>
      <c r="E18" s="241"/>
      <c r="F18" s="241"/>
      <c r="G18" s="241"/>
      <c r="H18" s="242"/>
      <c r="I18" s="247"/>
    </row>
    <row r="19" s="2" customFormat="1" ht="19.5" customHeight="1" spans="1:9">
      <c r="A19" s="73" t="s">
        <v>631</v>
      </c>
      <c r="B19" s="74"/>
      <c r="C19" s="30" t="s">
        <v>632</v>
      </c>
      <c r="D19" s="30"/>
      <c r="E19" s="30"/>
      <c r="F19" s="30"/>
      <c r="G19" s="30"/>
      <c r="H19" s="30"/>
      <c r="I19" s="57"/>
    </row>
    <row r="20" s="3" customFormat="1" ht="18" customHeight="1" spans="4:8">
      <c r="D20" s="31"/>
      <c r="E20" s="32" t="s">
        <v>570</v>
      </c>
      <c r="F20" s="31">
        <v>1</v>
      </c>
      <c r="G20" s="32" t="s">
        <v>288</v>
      </c>
      <c r="H20" s="33"/>
    </row>
    <row r="21" ht="15" customHeight="1" spans="2:8">
      <c r="B21" s="34" t="s">
        <v>194</v>
      </c>
      <c r="C21" s="34" t="s">
        <v>573</v>
      </c>
      <c r="D21" s="34" t="s">
        <v>574</v>
      </c>
      <c r="E21" s="34" t="s">
        <v>6</v>
      </c>
      <c r="F21" s="34" t="s">
        <v>575</v>
      </c>
      <c r="G21" s="34" t="s">
        <v>576</v>
      </c>
      <c r="H21" s="35" t="s">
        <v>577</v>
      </c>
    </row>
    <row r="22" ht="20.45" customHeight="1" spans="2:8">
      <c r="B22" s="34">
        <v>1</v>
      </c>
      <c r="C22" s="36" t="s">
        <v>286</v>
      </c>
      <c r="D22" s="34" t="s">
        <v>287</v>
      </c>
      <c r="E22" s="34" t="s">
        <v>288</v>
      </c>
      <c r="F22" s="34">
        <v>1</v>
      </c>
      <c r="G22" s="75">
        <f>'Basic Rates'!E45</f>
        <v>5000</v>
      </c>
      <c r="H22" s="38">
        <f>F22*G22</f>
        <v>5000</v>
      </c>
    </row>
    <row r="23" ht="20.45" customHeight="1" spans="2:8">
      <c r="B23" s="34">
        <v>1.00999999046326</v>
      </c>
      <c r="C23" s="36" t="s">
        <v>633</v>
      </c>
      <c r="D23" s="34"/>
      <c r="E23" s="34"/>
      <c r="F23" s="34"/>
      <c r="G23" s="75"/>
      <c r="H23" s="38">
        <f>H22*0.15</f>
        <v>750</v>
      </c>
    </row>
    <row r="24" ht="20.45" customHeight="1" spans="2:8">
      <c r="B24" s="34">
        <v>1.01999998092651</v>
      </c>
      <c r="C24" s="36" t="s">
        <v>208</v>
      </c>
      <c r="D24" s="34" t="s">
        <v>209</v>
      </c>
      <c r="E24" s="34" t="s">
        <v>175</v>
      </c>
      <c r="F24" s="34">
        <v>1.25</v>
      </c>
      <c r="G24" s="75">
        <f>'Basic Rates'!J10</f>
        <v>2300</v>
      </c>
      <c r="H24" s="38">
        <f>F24*G24</f>
        <v>2875</v>
      </c>
    </row>
    <row r="25" ht="20.45" customHeight="1" spans="2:8">
      <c r="B25" s="61"/>
      <c r="C25" s="61"/>
      <c r="D25" s="39" t="s">
        <v>579</v>
      </c>
      <c r="E25" s="40">
        <f>$F$20</f>
        <v>1</v>
      </c>
      <c r="F25" s="40" t="str">
        <f>$G$20</f>
        <v>Cube</v>
      </c>
      <c r="G25" s="41"/>
      <c r="H25" s="38">
        <f>SUM(H22:H24)</f>
        <v>8625</v>
      </c>
    </row>
    <row r="26" ht="20.45" customHeight="1" spans="2:8">
      <c r="B26" s="61"/>
      <c r="C26" s="61"/>
      <c r="D26" s="39" t="s">
        <v>580</v>
      </c>
      <c r="E26" s="40" t="str">
        <f>$G$20</f>
        <v>Cube</v>
      </c>
      <c r="F26" s="40"/>
      <c r="G26" s="41"/>
      <c r="H26" s="38">
        <f>H25/F20</f>
        <v>8625</v>
      </c>
    </row>
    <row r="27" s="4" customFormat="1" ht="20.1" customHeight="1" spans="1:11">
      <c r="A27" s="42"/>
      <c r="B27" s="43"/>
      <c r="C27" s="43"/>
      <c r="D27" s="44" t="s">
        <v>581</v>
      </c>
      <c r="E27" s="45"/>
      <c r="F27" s="45"/>
      <c r="G27" s="46" t="s">
        <v>595</v>
      </c>
      <c r="H27" s="229">
        <f>H26</f>
        <v>8625</v>
      </c>
      <c r="K27" s="58"/>
    </row>
    <row r="28" s="4" customFormat="1" ht="20.1" customHeight="1" spans="1:11">
      <c r="A28" s="42"/>
      <c r="B28" s="43"/>
      <c r="C28" s="43"/>
      <c r="D28" s="44" t="s">
        <v>581</v>
      </c>
      <c r="E28" s="45"/>
      <c r="F28" s="45"/>
      <c r="G28" s="46" t="s">
        <v>630</v>
      </c>
      <c r="H28" s="229">
        <f>H27/100</f>
        <v>86.25</v>
      </c>
      <c r="K28" s="58"/>
    </row>
    <row r="29" s="4" customFormat="1" ht="20.1" customHeight="1" spans="1:11">
      <c r="A29" s="42"/>
      <c r="B29" s="43"/>
      <c r="C29" s="43"/>
      <c r="D29" s="44" t="s">
        <v>581</v>
      </c>
      <c r="E29" s="45"/>
      <c r="F29" s="45"/>
      <c r="G29" s="46" t="s">
        <v>597</v>
      </c>
      <c r="H29" s="229">
        <f>ROUND(H27/2.83,0)</f>
        <v>3048</v>
      </c>
      <c r="K29" s="58"/>
    </row>
    <row r="30" ht="22.7" customHeight="1" spans="1:9">
      <c r="A30" s="240"/>
      <c r="B30" s="240"/>
      <c r="C30" s="241"/>
      <c r="D30" s="241"/>
      <c r="E30" s="241"/>
      <c r="F30" s="241"/>
      <c r="G30" s="241"/>
      <c r="H30" s="242"/>
      <c r="I30" s="247"/>
    </row>
    <row r="31" s="2" customFormat="1" ht="28.5" customHeight="1" spans="1:9">
      <c r="A31" s="73" t="s">
        <v>634</v>
      </c>
      <c r="B31" s="74"/>
      <c r="C31" s="30" t="s">
        <v>635</v>
      </c>
      <c r="D31" s="30"/>
      <c r="E31" s="30"/>
      <c r="F31" s="30"/>
      <c r="G31" s="30"/>
      <c r="H31" s="30"/>
      <c r="I31" s="57"/>
    </row>
    <row r="32" s="3" customFormat="1" ht="18" customHeight="1" spans="4:8">
      <c r="D32" s="31"/>
      <c r="E32" s="32" t="s">
        <v>570</v>
      </c>
      <c r="F32" s="31">
        <v>1</v>
      </c>
      <c r="G32" s="32" t="s">
        <v>288</v>
      </c>
      <c r="H32" s="33"/>
    </row>
    <row r="33" ht="15" customHeight="1" spans="2:8">
      <c r="B33" s="34" t="s">
        <v>194</v>
      </c>
      <c r="C33" s="34" t="s">
        <v>573</v>
      </c>
      <c r="D33" s="34" t="s">
        <v>574</v>
      </c>
      <c r="E33" s="34" t="s">
        <v>6</v>
      </c>
      <c r="F33" s="34" t="s">
        <v>575</v>
      </c>
      <c r="G33" s="34" t="s">
        <v>576</v>
      </c>
      <c r="H33" s="35" t="s">
        <v>577</v>
      </c>
    </row>
    <row r="34" ht="20.45" customHeight="1" spans="2:8">
      <c r="B34" s="34">
        <v>1.01999998092651</v>
      </c>
      <c r="C34" s="36" t="s">
        <v>208</v>
      </c>
      <c r="D34" s="34" t="s">
        <v>209</v>
      </c>
      <c r="E34" s="34" t="s">
        <v>175</v>
      </c>
      <c r="F34" s="34">
        <v>2</v>
      </c>
      <c r="G34" s="75">
        <f>'Basic Rates'!J10</f>
        <v>2300</v>
      </c>
      <c r="H34" s="38">
        <f>F34*G34</f>
        <v>4600</v>
      </c>
    </row>
    <row r="35" ht="20.45" customHeight="1" spans="2:8">
      <c r="B35" s="34">
        <v>1.01999998092651</v>
      </c>
      <c r="C35" s="36" t="s">
        <v>629</v>
      </c>
      <c r="D35" s="34"/>
      <c r="E35" s="34"/>
      <c r="F35" s="34"/>
      <c r="G35" s="75"/>
      <c r="H35" s="38">
        <f>H34*2.5/100</f>
        <v>115</v>
      </c>
    </row>
    <row r="36" ht="20.45" customHeight="1" spans="2:8">
      <c r="B36" s="61"/>
      <c r="C36" s="61"/>
      <c r="D36" s="39" t="s">
        <v>579</v>
      </c>
      <c r="E36" s="40">
        <f>$F$32</f>
        <v>1</v>
      </c>
      <c r="F36" s="40" t="str">
        <f>$G$32</f>
        <v>Cube</v>
      </c>
      <c r="G36" s="41"/>
      <c r="H36" s="38">
        <f>SUM(H34:H35)</f>
        <v>4715</v>
      </c>
    </row>
    <row r="37" ht="20.45" customHeight="1" spans="2:8">
      <c r="B37" s="61"/>
      <c r="C37" s="61"/>
      <c r="D37" s="39" t="s">
        <v>580</v>
      </c>
      <c r="E37" s="40" t="str">
        <f>$G$32</f>
        <v>Cube</v>
      </c>
      <c r="F37" s="40"/>
      <c r="G37" s="41"/>
      <c r="H37" s="38">
        <f>H36/F32</f>
        <v>4715</v>
      </c>
    </row>
    <row r="38" s="4" customFormat="1" ht="20.1" customHeight="1" spans="1:11">
      <c r="A38" s="42"/>
      <c r="B38" s="43"/>
      <c r="C38" s="43"/>
      <c r="D38" s="44" t="s">
        <v>581</v>
      </c>
      <c r="E38" s="45"/>
      <c r="F38" s="45"/>
      <c r="G38" s="46" t="s">
        <v>595</v>
      </c>
      <c r="H38" s="229">
        <f>H37</f>
        <v>4715</v>
      </c>
      <c r="K38" s="58"/>
    </row>
    <row r="39" s="4" customFormat="1" ht="20.1" customHeight="1" spans="1:11">
      <c r="A39" s="42"/>
      <c r="B39" s="43"/>
      <c r="C39" s="43"/>
      <c r="D39" s="44" t="s">
        <v>581</v>
      </c>
      <c r="E39" s="45"/>
      <c r="F39" s="45"/>
      <c r="G39" s="46" t="s">
        <v>630</v>
      </c>
      <c r="H39" s="229">
        <f>H38/100</f>
        <v>47.15</v>
      </c>
      <c r="K39" s="58"/>
    </row>
    <row r="40" s="4" customFormat="1" ht="20.1" customHeight="1" spans="1:11">
      <c r="A40" s="42"/>
      <c r="B40" s="43"/>
      <c r="C40" s="43"/>
      <c r="D40" s="44" t="s">
        <v>581</v>
      </c>
      <c r="E40" s="45"/>
      <c r="F40" s="45"/>
      <c r="G40" s="46" t="s">
        <v>597</v>
      </c>
      <c r="H40" s="229">
        <f>ROUND(H38/2.83,0)</f>
        <v>1666</v>
      </c>
      <c r="K40" s="58"/>
    </row>
    <row r="41" s="4" customFormat="1" ht="19.5" customHeight="1" spans="1:8">
      <c r="A41" s="42"/>
      <c r="B41" s="42"/>
      <c r="C41" s="42"/>
      <c r="D41" s="50"/>
      <c r="E41" s="51"/>
      <c r="F41" s="51"/>
      <c r="G41" s="52"/>
      <c r="H41" s="53"/>
    </row>
    <row r="42" s="2" customFormat="1" ht="27" customHeight="1" spans="1:9">
      <c r="A42" s="73" t="s">
        <v>636</v>
      </c>
      <c r="B42" s="74"/>
      <c r="C42" s="30" t="s">
        <v>637</v>
      </c>
      <c r="D42" s="30"/>
      <c r="E42" s="30"/>
      <c r="F42" s="30"/>
      <c r="G42" s="30"/>
      <c r="H42" s="30"/>
      <c r="I42" s="57"/>
    </row>
    <row r="43" s="3" customFormat="1" ht="18" customHeight="1" spans="4:8">
      <c r="D43" s="31"/>
      <c r="E43" s="32" t="s">
        <v>570</v>
      </c>
      <c r="F43" s="31">
        <v>1</v>
      </c>
      <c r="G43" s="32" t="s">
        <v>288</v>
      </c>
      <c r="H43" s="33"/>
    </row>
    <row r="44" ht="15" customHeight="1" spans="2:8">
      <c r="B44" s="34" t="s">
        <v>194</v>
      </c>
      <c r="C44" s="34" t="s">
        <v>573</v>
      </c>
      <c r="D44" s="34" t="s">
        <v>574</v>
      </c>
      <c r="E44" s="34" t="s">
        <v>6</v>
      </c>
      <c r="F44" s="34" t="s">
        <v>575</v>
      </c>
      <c r="G44" s="34" t="s">
        <v>576</v>
      </c>
      <c r="H44" s="35" t="s">
        <v>577</v>
      </c>
    </row>
    <row r="45" ht="20.45" customHeight="1" spans="2:8">
      <c r="B45" s="34">
        <v>1.01999998092651</v>
      </c>
      <c r="C45" s="36" t="s">
        <v>286</v>
      </c>
      <c r="D45" s="34" t="s">
        <v>287</v>
      </c>
      <c r="E45" s="34" t="s">
        <v>638</v>
      </c>
      <c r="F45" s="34">
        <v>1</v>
      </c>
      <c r="G45" s="75">
        <f>'Basic Rates'!E45</f>
        <v>5000</v>
      </c>
      <c r="H45" s="38">
        <f>F45*G45</f>
        <v>5000</v>
      </c>
    </row>
    <row r="46" ht="20.45" customHeight="1" spans="2:8">
      <c r="B46" s="34">
        <v>1.02999997138977</v>
      </c>
      <c r="C46" s="36" t="s">
        <v>639</v>
      </c>
      <c r="D46" s="34"/>
      <c r="E46" s="34"/>
      <c r="F46" s="34"/>
      <c r="G46" s="75"/>
      <c r="H46" s="38">
        <f>H45*0.15</f>
        <v>750</v>
      </c>
    </row>
    <row r="47" ht="20.45" customHeight="1" spans="2:8">
      <c r="B47" s="34">
        <v>1.03999996185303</v>
      </c>
      <c r="C47" s="36" t="s">
        <v>208</v>
      </c>
      <c r="D47" s="34" t="s">
        <v>209</v>
      </c>
      <c r="E47" s="34" t="s">
        <v>175</v>
      </c>
      <c r="F47" s="34">
        <v>2</v>
      </c>
      <c r="G47" s="75">
        <f>'Basic Rates'!J10</f>
        <v>2300</v>
      </c>
      <c r="H47" s="38">
        <f>F47*G47</f>
        <v>4600</v>
      </c>
    </row>
    <row r="48" ht="20.45" customHeight="1" spans="2:8">
      <c r="B48" s="34">
        <v>1.01999998092651</v>
      </c>
      <c r="C48" s="36" t="s">
        <v>629</v>
      </c>
      <c r="D48" s="34"/>
      <c r="E48" s="34"/>
      <c r="F48" s="34"/>
      <c r="G48" s="75"/>
      <c r="H48" s="38">
        <f>H45*2.5/100</f>
        <v>125</v>
      </c>
    </row>
    <row r="49" ht="20.45" customHeight="1" spans="2:8">
      <c r="B49" s="61"/>
      <c r="C49" s="61"/>
      <c r="D49" s="39" t="s">
        <v>579</v>
      </c>
      <c r="E49" s="40">
        <f>$F$43</f>
        <v>1</v>
      </c>
      <c r="F49" s="40" t="str">
        <f>$G$43</f>
        <v>Cube</v>
      </c>
      <c r="G49" s="41"/>
      <c r="H49" s="38">
        <f>SUM(H45:H48)</f>
        <v>10475</v>
      </c>
    </row>
    <row r="50" ht="20.45" customHeight="1" spans="2:8">
      <c r="B50" s="61"/>
      <c r="C50" s="61"/>
      <c r="D50" s="39" t="s">
        <v>580</v>
      </c>
      <c r="E50" s="40" t="str">
        <f>$G$43</f>
        <v>Cube</v>
      </c>
      <c r="F50" s="40"/>
      <c r="G50" s="41"/>
      <c r="H50" s="38">
        <f>H49/F43</f>
        <v>10475</v>
      </c>
    </row>
    <row r="51" s="4" customFormat="1" ht="20.1" customHeight="1" spans="1:11">
      <c r="A51" s="42"/>
      <c r="B51" s="43"/>
      <c r="C51" s="43"/>
      <c r="D51" s="44" t="s">
        <v>581</v>
      </c>
      <c r="E51" s="45"/>
      <c r="F51" s="45"/>
      <c r="G51" s="46" t="s">
        <v>595</v>
      </c>
      <c r="H51" s="229">
        <f>H50</f>
        <v>10475</v>
      </c>
      <c r="K51" s="58"/>
    </row>
    <row r="52" s="4" customFormat="1" ht="20.1" customHeight="1" spans="1:11">
      <c r="A52" s="42"/>
      <c r="B52" s="43"/>
      <c r="C52" s="43"/>
      <c r="D52" s="44" t="s">
        <v>581</v>
      </c>
      <c r="E52" s="45"/>
      <c r="F52" s="45"/>
      <c r="G52" s="46" t="s">
        <v>630</v>
      </c>
      <c r="H52" s="229">
        <f>H51/100</f>
        <v>104.75</v>
      </c>
      <c r="K52" s="58"/>
    </row>
    <row r="53" s="4" customFormat="1" ht="20.1" customHeight="1" spans="1:11">
      <c r="A53" s="42"/>
      <c r="B53" s="43"/>
      <c r="C53" s="43"/>
      <c r="D53" s="44" t="s">
        <v>581</v>
      </c>
      <c r="E53" s="45"/>
      <c r="F53" s="45"/>
      <c r="G53" s="46" t="s">
        <v>597</v>
      </c>
      <c r="H53" s="229">
        <f>H51/2.83</f>
        <v>3701.41342756184</v>
      </c>
      <c r="K53" s="58"/>
    </row>
    <row r="54" s="4" customFormat="1" ht="20.1" customHeight="1" spans="1:11">
      <c r="A54" s="42"/>
      <c r="B54" s="43"/>
      <c r="C54" s="43"/>
      <c r="D54" s="44" t="s">
        <v>640</v>
      </c>
      <c r="E54" s="45"/>
      <c r="F54" s="45"/>
      <c r="G54" s="46" t="s">
        <v>597</v>
      </c>
      <c r="H54" s="229">
        <f>H53*1.3</f>
        <v>4811.83745583039</v>
      </c>
      <c r="K54" s="58"/>
    </row>
    <row r="55" s="5" customFormat="1" ht="21.75" customHeight="1" spans="1:11">
      <c r="A55" s="62"/>
      <c r="B55" s="63"/>
      <c r="C55" s="63"/>
      <c r="D55" s="64"/>
      <c r="E55" s="65"/>
      <c r="F55" s="65"/>
      <c r="G55" s="66"/>
      <c r="H55" s="243"/>
      <c r="K55" s="69"/>
    </row>
    <row r="56" s="2" customFormat="1" ht="21.75" customHeight="1" spans="1:9">
      <c r="A56" s="73" t="s">
        <v>641</v>
      </c>
      <c r="B56" s="74"/>
      <c r="C56" s="30" t="s">
        <v>642</v>
      </c>
      <c r="D56" s="30"/>
      <c r="E56" s="30"/>
      <c r="F56" s="30"/>
      <c r="G56" s="30"/>
      <c r="H56" s="30"/>
      <c r="I56" s="57"/>
    </row>
    <row r="57" s="3" customFormat="1" ht="14.25" customHeight="1" spans="4:8">
      <c r="D57" s="31"/>
      <c r="E57" s="32" t="s">
        <v>570</v>
      </c>
      <c r="F57" s="31">
        <v>1</v>
      </c>
      <c r="G57" s="32" t="s">
        <v>288</v>
      </c>
      <c r="H57" s="33"/>
    </row>
    <row r="58" ht="15" customHeight="1" spans="2:8">
      <c r="B58" s="34" t="s">
        <v>194</v>
      </c>
      <c r="C58" s="34" t="s">
        <v>573</v>
      </c>
      <c r="D58" s="34" t="s">
        <v>574</v>
      </c>
      <c r="E58" s="34" t="s">
        <v>6</v>
      </c>
      <c r="F58" s="34" t="s">
        <v>575</v>
      </c>
      <c r="G58" s="34" t="s">
        <v>576</v>
      </c>
      <c r="H58" s="35" t="s">
        <v>577</v>
      </c>
    </row>
    <row r="59" s="1" customFormat="1" ht="20.45" customHeight="1" spans="2:8">
      <c r="B59" s="205">
        <v>1.01999998092651</v>
      </c>
      <c r="C59" s="244" t="s">
        <v>643</v>
      </c>
      <c r="D59" s="205" t="s">
        <v>312</v>
      </c>
      <c r="E59" s="205" t="s">
        <v>288</v>
      </c>
      <c r="F59" s="205">
        <v>1</v>
      </c>
      <c r="G59" s="245">
        <f>'Basic Rates'!E56</f>
        <v>2000</v>
      </c>
      <c r="H59" s="246">
        <f>F59*G59</f>
        <v>2000</v>
      </c>
    </row>
    <row r="60" ht="27.75" customHeight="1" spans="2:8">
      <c r="B60" s="34">
        <v>1.02999997138977</v>
      </c>
      <c r="C60" s="36" t="s">
        <v>644</v>
      </c>
      <c r="D60" s="34"/>
      <c r="E60" s="34"/>
      <c r="F60" s="34"/>
      <c r="G60" s="75"/>
      <c r="H60" s="38">
        <f>H59*0.15</f>
        <v>300</v>
      </c>
    </row>
    <row r="61" ht="20.45" customHeight="1" spans="2:8">
      <c r="B61" s="34">
        <v>1.03999996185303</v>
      </c>
      <c r="C61" s="36" t="s">
        <v>208</v>
      </c>
      <c r="D61" s="34" t="s">
        <v>209</v>
      </c>
      <c r="E61" s="34" t="s">
        <v>175</v>
      </c>
      <c r="F61" s="34">
        <v>2</v>
      </c>
      <c r="G61" s="75">
        <f>'Basic Rates'!J10</f>
        <v>2300</v>
      </c>
      <c r="H61" s="38">
        <f>F61*G61</f>
        <v>4600</v>
      </c>
    </row>
    <row r="62" ht="20.45" customHeight="1" spans="2:8">
      <c r="B62" s="34">
        <v>1.01999998092651</v>
      </c>
      <c r="C62" s="36" t="s">
        <v>629</v>
      </c>
      <c r="D62" s="34"/>
      <c r="E62" s="34"/>
      <c r="F62" s="34"/>
      <c r="G62" s="75"/>
      <c r="H62" s="38">
        <f>H59*2.5/100</f>
        <v>50</v>
      </c>
    </row>
    <row r="63" ht="20.45" customHeight="1" spans="2:8">
      <c r="B63" s="61"/>
      <c r="C63" s="61"/>
      <c r="D63" s="39" t="s">
        <v>579</v>
      </c>
      <c r="E63" s="40">
        <f>$F$43</f>
        <v>1</v>
      </c>
      <c r="F63" s="40" t="str">
        <f>$G$43</f>
        <v>Cube</v>
      </c>
      <c r="G63" s="41"/>
      <c r="H63" s="38">
        <f>SUM(H59:H62)</f>
        <v>6950</v>
      </c>
    </row>
    <row r="64" ht="20.45" customHeight="1" spans="2:8">
      <c r="B64" s="61"/>
      <c r="C64" s="61"/>
      <c r="D64" s="39" t="s">
        <v>580</v>
      </c>
      <c r="E64" s="40" t="str">
        <f>$G$43</f>
        <v>Cube</v>
      </c>
      <c r="F64" s="40"/>
      <c r="G64" s="41"/>
      <c r="H64" s="38">
        <f>H63/F57</f>
        <v>6950</v>
      </c>
    </row>
    <row r="65" s="4" customFormat="1" ht="20.1" customHeight="1" spans="1:11">
      <c r="A65" s="42"/>
      <c r="B65" s="43"/>
      <c r="C65" s="43"/>
      <c r="D65" s="44" t="s">
        <v>581</v>
      </c>
      <c r="E65" s="45"/>
      <c r="F65" s="45"/>
      <c r="G65" s="46" t="s">
        <v>595</v>
      </c>
      <c r="H65" s="229">
        <f>H64</f>
        <v>6950</v>
      </c>
      <c r="K65" s="58"/>
    </row>
    <row r="66" s="4" customFormat="1" ht="20.1" customHeight="1" spans="1:11">
      <c r="A66" s="42"/>
      <c r="B66" s="43"/>
      <c r="C66" s="43"/>
      <c r="D66" s="44" t="s">
        <v>581</v>
      </c>
      <c r="E66" s="45"/>
      <c r="F66" s="45"/>
      <c r="G66" s="46" t="s">
        <v>630</v>
      </c>
      <c r="H66" s="229">
        <f>H65/100</f>
        <v>69.5</v>
      </c>
      <c r="K66" s="58"/>
    </row>
    <row r="67" s="4" customFormat="1" ht="20.1" customHeight="1" spans="1:11">
      <c r="A67" s="42"/>
      <c r="B67" s="43"/>
      <c r="C67" s="43"/>
      <c r="D67" s="44" t="s">
        <v>581</v>
      </c>
      <c r="E67" s="45"/>
      <c r="F67" s="45"/>
      <c r="G67" s="46" t="s">
        <v>597</v>
      </c>
      <c r="H67" s="229">
        <f>H65/2.83</f>
        <v>2455.83038869258</v>
      </c>
      <c r="K67" s="58"/>
    </row>
    <row r="68" s="4" customFormat="1" ht="20.1" customHeight="1" spans="1:11">
      <c r="A68" s="42"/>
      <c r="B68" s="43"/>
      <c r="C68" s="43"/>
      <c r="D68" s="44" t="s">
        <v>640</v>
      </c>
      <c r="E68" s="45"/>
      <c r="F68" s="45"/>
      <c r="G68" s="46" t="s">
        <v>597</v>
      </c>
      <c r="H68" s="229">
        <f>H67*1.3</f>
        <v>3192.57950530035</v>
      </c>
      <c r="K68" s="58"/>
    </row>
    <row r="69" s="5" customFormat="1" ht="15" customHeight="1" spans="1:11">
      <c r="A69" s="62"/>
      <c r="B69" s="63"/>
      <c r="C69" s="63"/>
      <c r="D69" s="64"/>
      <c r="E69" s="65"/>
      <c r="F69" s="65"/>
      <c r="G69" s="66"/>
      <c r="H69" s="243"/>
      <c r="K69" s="69"/>
    </row>
    <row r="70" s="2" customFormat="1" ht="27" customHeight="1" spans="1:9">
      <c r="A70" s="73" t="s">
        <v>645</v>
      </c>
      <c r="B70" s="74"/>
      <c r="C70" s="30" t="s">
        <v>646</v>
      </c>
      <c r="D70" s="30"/>
      <c r="E70" s="30"/>
      <c r="F70" s="30"/>
      <c r="G70" s="30"/>
      <c r="H70" s="30"/>
      <c r="I70" s="57"/>
    </row>
    <row r="71" s="3" customFormat="1" ht="18" customHeight="1" spans="4:8">
      <c r="D71" s="32" t="s">
        <v>570</v>
      </c>
      <c r="E71" s="32">
        <v>7</v>
      </c>
      <c r="F71" s="31" t="s">
        <v>647</v>
      </c>
      <c r="G71" s="32"/>
      <c r="H71" s="33"/>
    </row>
    <row r="72" ht="15" customHeight="1" spans="2:8">
      <c r="B72" s="34" t="s">
        <v>194</v>
      </c>
      <c r="C72" s="34" t="s">
        <v>573</v>
      </c>
      <c r="D72" s="34" t="s">
        <v>574</v>
      </c>
      <c r="E72" s="34" t="s">
        <v>6</v>
      </c>
      <c r="F72" s="34" t="s">
        <v>575</v>
      </c>
      <c r="G72" s="34" t="s">
        <v>576</v>
      </c>
      <c r="H72" s="35" t="s">
        <v>577</v>
      </c>
    </row>
    <row r="73" ht="20.45" customHeight="1" spans="2:8">
      <c r="B73" s="34">
        <v>1.00999999046326</v>
      </c>
      <c r="C73" s="36" t="s">
        <v>648</v>
      </c>
      <c r="D73" s="34" t="s">
        <v>209</v>
      </c>
      <c r="E73" s="34" t="s">
        <v>175</v>
      </c>
      <c r="F73" s="34">
        <v>1</v>
      </c>
      <c r="G73" s="75">
        <f>'Basic Rates'!J10</f>
        <v>2300</v>
      </c>
      <c r="H73" s="38">
        <f>G73*F73</f>
        <v>2300</v>
      </c>
    </row>
    <row r="74" ht="20.45" customHeight="1" spans="2:8">
      <c r="B74" s="34">
        <v>1.01999998092651</v>
      </c>
      <c r="C74" s="36" t="s">
        <v>578</v>
      </c>
      <c r="D74" s="34"/>
      <c r="E74" s="34"/>
      <c r="F74" s="34"/>
      <c r="G74" s="75"/>
      <c r="H74" s="38">
        <f>H73*2.5/100</f>
        <v>57.5</v>
      </c>
    </row>
    <row r="75" ht="20.45" customHeight="1" spans="2:8">
      <c r="B75" s="34">
        <v>1.03999996185303</v>
      </c>
      <c r="C75" s="36" t="s">
        <v>649</v>
      </c>
      <c r="D75" s="34" t="s">
        <v>191</v>
      </c>
      <c r="E75" s="34" t="s">
        <v>175</v>
      </c>
      <c r="F75" s="34">
        <v>0.5</v>
      </c>
      <c r="G75" s="75">
        <f>'Basic Rates'!O6</f>
        <v>3000</v>
      </c>
      <c r="H75" s="38">
        <f>G75*F75</f>
        <v>1500</v>
      </c>
    </row>
    <row r="76" ht="20.45" customHeight="1" spans="2:8">
      <c r="B76" s="61"/>
      <c r="C76" s="61"/>
      <c r="D76" s="39" t="s">
        <v>579</v>
      </c>
      <c r="E76" s="40">
        <v>7</v>
      </c>
      <c r="F76" s="40" t="s">
        <v>647</v>
      </c>
      <c r="G76" s="41"/>
      <c r="H76" s="38">
        <f>SUM(H73:H75)</f>
        <v>3857.5</v>
      </c>
    </row>
    <row r="77" ht="20.45" customHeight="1" spans="2:8">
      <c r="B77" s="61"/>
      <c r="C77" s="61"/>
      <c r="D77" s="39" t="s">
        <v>580</v>
      </c>
      <c r="E77" s="40">
        <v>1</v>
      </c>
      <c r="F77" s="40" t="s">
        <v>647</v>
      </c>
      <c r="G77" s="41"/>
      <c r="H77" s="38">
        <f>H76/E71</f>
        <v>551.071428571429</v>
      </c>
    </row>
    <row r="78" s="4" customFormat="1" ht="20.1" customHeight="1" spans="1:11">
      <c r="A78" s="42"/>
      <c r="B78" s="43"/>
      <c r="C78" s="43"/>
      <c r="D78" s="44" t="s">
        <v>581</v>
      </c>
      <c r="E78" s="45"/>
      <c r="F78" s="45"/>
      <c r="G78" s="46" t="s">
        <v>597</v>
      </c>
      <c r="H78" s="229">
        <f>H77</f>
        <v>551.071428571429</v>
      </c>
      <c r="K78" s="58"/>
    </row>
    <row r="79" s="4" customFormat="1" ht="20.1" customHeight="1" spans="1:11">
      <c r="A79" s="42"/>
      <c r="B79" s="43"/>
      <c r="C79" s="43"/>
      <c r="D79" s="44" t="s">
        <v>581</v>
      </c>
      <c r="E79" s="45"/>
      <c r="F79" s="45"/>
      <c r="G79" s="46" t="s">
        <v>288</v>
      </c>
      <c r="H79" s="229">
        <f>H78*2.83</f>
        <v>1559.53214285714</v>
      </c>
      <c r="K79" s="58"/>
    </row>
    <row r="80" s="4" customFormat="1" ht="20.1" customHeight="1" spans="1:11">
      <c r="A80" s="42"/>
      <c r="B80" s="43"/>
      <c r="C80" s="43"/>
      <c r="D80" s="44" t="s">
        <v>581</v>
      </c>
      <c r="E80" s="45"/>
      <c r="F80" s="45"/>
      <c r="G80" s="46" t="s">
        <v>630</v>
      </c>
      <c r="H80" s="229">
        <f>H79/100</f>
        <v>15.5953214285714</v>
      </c>
      <c r="K80" s="58"/>
    </row>
    <row r="81" ht="22.7" customHeight="1" spans="1:9">
      <c r="A81" s="240"/>
      <c r="B81" s="240"/>
      <c r="C81" s="241"/>
      <c r="D81" s="241"/>
      <c r="E81" s="241"/>
      <c r="F81" s="241"/>
      <c r="G81" s="241"/>
      <c r="H81" s="242"/>
      <c r="I81" s="247"/>
    </row>
    <row r="82" s="4" customFormat="1" ht="9.75" customHeight="1" spans="4:8">
      <c r="D82" s="146"/>
      <c r="E82" s="147"/>
      <c r="F82" s="147"/>
      <c r="G82" s="148"/>
      <c r="H82" s="149"/>
    </row>
    <row r="83" s="1" customFormat="1" ht="20.25" customHeight="1" spans="1:9">
      <c r="A83" s="59" t="s">
        <v>650</v>
      </c>
      <c r="B83" s="22"/>
      <c r="C83" s="22"/>
      <c r="D83" s="22"/>
      <c r="E83" s="22"/>
      <c r="F83" s="22"/>
      <c r="G83" s="22"/>
      <c r="H83" s="60"/>
      <c r="I83" s="248"/>
    </row>
    <row r="84" s="4" customFormat="1" ht="9.75" customHeight="1" spans="4:8">
      <c r="D84" s="146"/>
      <c r="E84" s="147"/>
      <c r="F84" s="147"/>
      <c r="G84" s="148"/>
      <c r="H84" s="149"/>
    </row>
    <row r="85" s="2" customFormat="1" ht="21" customHeight="1" spans="1:9">
      <c r="A85" s="29" t="s">
        <v>651</v>
      </c>
      <c r="B85" s="29"/>
      <c r="C85" s="30" t="s">
        <v>652</v>
      </c>
      <c r="D85" s="30"/>
      <c r="E85" s="30"/>
      <c r="F85" s="30"/>
      <c r="G85" s="30"/>
      <c r="H85" s="30"/>
      <c r="I85" s="57"/>
    </row>
    <row r="86" s="3" customFormat="1" ht="18" customHeight="1" spans="4:8">
      <c r="D86" s="31"/>
      <c r="E86" s="32" t="s">
        <v>570</v>
      </c>
      <c r="F86" s="31">
        <v>1.5</v>
      </c>
      <c r="G86" s="32" t="s">
        <v>571</v>
      </c>
      <c r="H86" s="33"/>
    </row>
    <row r="87" ht="15" customHeight="1" spans="2:8">
      <c r="B87" s="34" t="s">
        <v>194</v>
      </c>
      <c r="C87" s="34" t="s">
        <v>573</v>
      </c>
      <c r="D87" s="34" t="s">
        <v>574</v>
      </c>
      <c r="E87" s="34" t="s">
        <v>6</v>
      </c>
      <c r="F87" s="34" t="s">
        <v>575</v>
      </c>
      <c r="G87" s="34" t="s">
        <v>576</v>
      </c>
      <c r="H87" s="35" t="s">
        <v>577</v>
      </c>
    </row>
    <row r="88" ht="20.45" customHeight="1" spans="2:8">
      <c r="B88" s="34">
        <v>1.00999999046326</v>
      </c>
      <c r="C88" s="36" t="s">
        <v>653</v>
      </c>
      <c r="D88" s="34" t="s">
        <v>492</v>
      </c>
      <c r="E88" s="34" t="s">
        <v>481</v>
      </c>
      <c r="F88" s="34">
        <v>4.375</v>
      </c>
      <c r="G88" s="75">
        <f>'Basic Rates'!E144</f>
        <v>750</v>
      </c>
      <c r="H88" s="38">
        <f>F88*G88</f>
        <v>3281.25</v>
      </c>
    </row>
    <row r="89" ht="20.45" customHeight="1" spans="2:8">
      <c r="B89" s="34">
        <v>1.01999998092651</v>
      </c>
      <c r="C89" s="36" t="s">
        <v>76</v>
      </c>
      <c r="D89" s="34" t="s">
        <v>213</v>
      </c>
      <c r="E89" s="34" t="s">
        <v>175</v>
      </c>
      <c r="F89" s="34">
        <v>1</v>
      </c>
      <c r="G89" s="75">
        <f>'Basic Rates'!J11</f>
        <v>3500</v>
      </c>
      <c r="H89" s="38">
        <f>F89*G89</f>
        <v>3500</v>
      </c>
    </row>
    <row r="90" ht="20.45" customHeight="1" spans="2:8">
      <c r="B90" s="34">
        <v>1.02999997138977</v>
      </c>
      <c r="C90" s="36" t="s">
        <v>208</v>
      </c>
      <c r="D90" s="34" t="s">
        <v>209</v>
      </c>
      <c r="E90" s="34" t="s">
        <v>175</v>
      </c>
      <c r="F90" s="34">
        <v>3</v>
      </c>
      <c r="G90" s="75">
        <f>'Basic Rates'!J10</f>
        <v>2300</v>
      </c>
      <c r="H90" s="38">
        <f>F90*G90</f>
        <v>6900</v>
      </c>
    </row>
    <row r="91" ht="20.45" customHeight="1" spans="2:8">
      <c r="B91" s="61"/>
      <c r="C91" s="61"/>
      <c r="D91" s="39" t="s">
        <v>579</v>
      </c>
      <c r="E91" s="40">
        <f>$F$86</f>
        <v>1.5</v>
      </c>
      <c r="F91" s="40" t="str">
        <f>$G$86</f>
        <v>Sqr</v>
      </c>
      <c r="G91" s="41"/>
      <c r="H91" s="38">
        <f>SUM(H88:H90)</f>
        <v>13681.25</v>
      </c>
    </row>
    <row r="92" ht="20.45" customHeight="1" spans="2:8">
      <c r="B92" s="61"/>
      <c r="C92" s="61"/>
      <c r="D92" s="39" t="s">
        <v>580</v>
      </c>
      <c r="E92" s="40" t="str">
        <f>$G$86</f>
        <v>Sqr</v>
      </c>
      <c r="F92" s="40"/>
      <c r="G92" s="41"/>
      <c r="H92" s="38">
        <f>H91/F86</f>
        <v>9120.83333333333</v>
      </c>
    </row>
    <row r="93" s="4" customFormat="1" ht="20.1" customHeight="1" spans="1:11">
      <c r="A93" s="42"/>
      <c r="B93" s="43"/>
      <c r="C93" s="43"/>
      <c r="D93" s="44" t="s">
        <v>581</v>
      </c>
      <c r="E93" s="45"/>
      <c r="F93" s="45"/>
      <c r="G93" s="46" t="s">
        <v>654</v>
      </c>
      <c r="H93" s="229">
        <f>H92</f>
        <v>9120.83333333333</v>
      </c>
      <c r="K93" s="58"/>
    </row>
    <row r="94" s="4" customFormat="1" ht="20.1" customHeight="1" spans="1:11">
      <c r="A94" s="42"/>
      <c r="B94" s="43"/>
      <c r="C94" s="43"/>
      <c r="D94" s="44" t="s">
        <v>581</v>
      </c>
      <c r="E94" s="45"/>
      <c r="F94" s="45"/>
      <c r="G94" s="46" t="s">
        <v>584</v>
      </c>
      <c r="H94" s="229">
        <f>H93/100*10.76</f>
        <v>981.401666666667</v>
      </c>
      <c r="K94" s="58"/>
    </row>
    <row r="95" s="4" customFormat="1" ht="22.5" customHeight="1" spans="1:8">
      <c r="A95" s="42"/>
      <c r="B95" s="42"/>
      <c r="C95" s="42"/>
      <c r="D95" s="50"/>
      <c r="E95" s="51"/>
      <c r="F95" s="51"/>
      <c r="G95" s="52"/>
      <c r="H95" s="53"/>
    </row>
    <row r="96" s="2" customFormat="1" ht="20.25" customHeight="1" spans="1:9">
      <c r="A96" s="29" t="s">
        <v>655</v>
      </c>
      <c r="B96" s="29"/>
      <c r="C96" s="30" t="s">
        <v>656</v>
      </c>
      <c r="D96" s="30"/>
      <c r="E96" s="30"/>
      <c r="F96" s="30"/>
      <c r="G96" s="30"/>
      <c r="H96" s="30"/>
      <c r="I96" s="57"/>
    </row>
    <row r="97" s="3" customFormat="1" ht="18" customHeight="1" spans="4:8">
      <c r="D97" s="31"/>
      <c r="E97" s="32" t="s">
        <v>570</v>
      </c>
      <c r="F97" s="31">
        <v>1.5</v>
      </c>
      <c r="G97" s="32" t="s">
        <v>592</v>
      </c>
      <c r="H97" s="33"/>
    </row>
    <row r="98" ht="15" customHeight="1" spans="2:8">
      <c r="B98" s="34" t="s">
        <v>194</v>
      </c>
      <c r="C98" s="34" t="s">
        <v>573</v>
      </c>
      <c r="D98" s="34" t="s">
        <v>574</v>
      </c>
      <c r="E98" s="34" t="s">
        <v>6</v>
      </c>
      <c r="F98" s="34" t="s">
        <v>575</v>
      </c>
      <c r="G98" s="34" t="s">
        <v>576</v>
      </c>
      <c r="H98" s="35" t="s">
        <v>577</v>
      </c>
    </row>
    <row r="99" ht="20.45" customHeight="1" spans="2:8">
      <c r="B99" s="34">
        <v>1.00999999046326</v>
      </c>
      <c r="C99" s="36" t="s">
        <v>657</v>
      </c>
      <c r="D99" s="34" t="s">
        <v>492</v>
      </c>
      <c r="E99" s="34" t="s">
        <v>481</v>
      </c>
      <c r="F99" s="34">
        <v>7.5</v>
      </c>
      <c r="G99" s="75">
        <f>'Basic Rates'!E144</f>
        <v>750</v>
      </c>
      <c r="H99" s="38">
        <f>F99*G99</f>
        <v>5625</v>
      </c>
    </row>
    <row r="100" ht="20.45" customHeight="1" spans="2:8">
      <c r="B100" s="34">
        <v>1.01999998092651</v>
      </c>
      <c r="C100" s="36" t="s">
        <v>76</v>
      </c>
      <c r="D100" s="34" t="s">
        <v>213</v>
      </c>
      <c r="E100" s="34" t="s">
        <v>175</v>
      </c>
      <c r="F100" s="34">
        <v>2</v>
      </c>
      <c r="G100" s="75">
        <f>'Basic Rates'!J11</f>
        <v>3500</v>
      </c>
      <c r="H100" s="38">
        <f>F100*G100</f>
        <v>7000</v>
      </c>
    </row>
    <row r="101" ht="20.45" customHeight="1" spans="2:8">
      <c r="B101" s="34">
        <v>1.02999997138977</v>
      </c>
      <c r="C101" s="36" t="s">
        <v>208</v>
      </c>
      <c r="D101" s="34" t="s">
        <v>209</v>
      </c>
      <c r="E101" s="34" t="s">
        <v>175</v>
      </c>
      <c r="F101" s="34">
        <v>6</v>
      </c>
      <c r="G101" s="75">
        <f>'Basic Rates'!J10</f>
        <v>2300</v>
      </c>
      <c r="H101" s="38">
        <f>F101*G101</f>
        <v>13800</v>
      </c>
    </row>
    <row r="102" ht="20.45" customHeight="1" spans="2:8">
      <c r="B102" s="61"/>
      <c r="C102" s="61"/>
      <c r="D102" s="39" t="s">
        <v>579</v>
      </c>
      <c r="E102" s="40">
        <f>$F$97</f>
        <v>1.5</v>
      </c>
      <c r="F102" s="40" t="str">
        <f>$G$97</f>
        <v>Sqrs</v>
      </c>
      <c r="G102" s="41"/>
      <c r="H102" s="38">
        <f>SUM(H99:H101)</f>
        <v>26425</v>
      </c>
    </row>
    <row r="103" ht="20.45" customHeight="1" spans="2:8">
      <c r="B103" s="61"/>
      <c r="C103" s="61"/>
      <c r="D103" s="39" t="s">
        <v>580</v>
      </c>
      <c r="E103" s="40" t="str">
        <f>$G$97</f>
        <v>Sqrs</v>
      </c>
      <c r="F103" s="40"/>
      <c r="G103" s="41"/>
      <c r="H103" s="38">
        <f>H102/F97</f>
        <v>17616.6666666667</v>
      </c>
    </row>
    <row r="104" s="4" customFormat="1" ht="20.1" customHeight="1" spans="1:11">
      <c r="A104" s="42"/>
      <c r="B104" s="43"/>
      <c r="C104" s="43"/>
      <c r="D104" s="44" t="s">
        <v>581</v>
      </c>
      <c r="E104" s="45"/>
      <c r="F104" s="45"/>
      <c r="G104" s="46" t="s">
        <v>654</v>
      </c>
      <c r="H104" s="229">
        <f>H103</f>
        <v>17616.6666666667</v>
      </c>
      <c r="K104" s="58"/>
    </row>
    <row r="105" s="4" customFormat="1" ht="20.1" customHeight="1" spans="1:11">
      <c r="A105" s="42"/>
      <c r="B105" s="43"/>
      <c r="C105" s="43"/>
      <c r="D105" s="44" t="s">
        <v>581</v>
      </c>
      <c r="E105" s="45"/>
      <c r="F105" s="45"/>
      <c r="G105" s="46" t="s">
        <v>584</v>
      </c>
      <c r="H105" s="229">
        <f>H104/100*10.76</f>
        <v>1895.55333333333</v>
      </c>
      <c r="K105" s="58"/>
    </row>
    <row r="106" s="4" customFormat="1" ht="22.5" customHeight="1" spans="1:8">
      <c r="A106" s="42"/>
      <c r="B106" s="42"/>
      <c r="C106" s="42"/>
      <c r="D106" s="50"/>
      <c r="E106" s="51"/>
      <c r="F106" s="51"/>
      <c r="G106" s="52"/>
      <c r="H106" s="53"/>
    </row>
    <row r="107" s="2" customFormat="1" ht="20.25" customHeight="1" spans="1:9">
      <c r="A107" s="29" t="s">
        <v>658</v>
      </c>
      <c r="B107" s="29"/>
      <c r="C107" s="30" t="s">
        <v>659</v>
      </c>
      <c r="D107" s="30"/>
      <c r="E107" s="30"/>
      <c r="F107" s="30"/>
      <c r="G107" s="30"/>
      <c r="H107" s="30"/>
      <c r="I107" s="57"/>
    </row>
    <row r="108" s="3" customFormat="1" ht="18" customHeight="1" spans="4:8">
      <c r="D108" s="31"/>
      <c r="E108" s="32" t="s">
        <v>570</v>
      </c>
      <c r="F108" s="31">
        <v>4.5</v>
      </c>
      <c r="G108" s="32" t="s">
        <v>571</v>
      </c>
      <c r="H108" s="33"/>
    </row>
    <row r="109" ht="15" customHeight="1" spans="2:8">
      <c r="B109" s="34" t="s">
        <v>194</v>
      </c>
      <c r="C109" s="34" t="s">
        <v>573</v>
      </c>
      <c r="D109" s="34" t="s">
        <v>574</v>
      </c>
      <c r="E109" s="34" t="s">
        <v>6</v>
      </c>
      <c r="F109" s="34" t="s">
        <v>575</v>
      </c>
      <c r="G109" s="34" t="s">
        <v>576</v>
      </c>
      <c r="H109" s="35" t="s">
        <v>577</v>
      </c>
    </row>
    <row r="110" ht="20.45" customHeight="1" spans="2:8">
      <c r="B110" s="34">
        <v>1.00999999046326</v>
      </c>
      <c r="C110" s="36" t="s">
        <v>660</v>
      </c>
      <c r="D110" s="34" t="s">
        <v>492</v>
      </c>
      <c r="E110" s="34" t="s">
        <v>481</v>
      </c>
      <c r="F110" s="34">
        <v>25</v>
      </c>
      <c r="G110" s="75">
        <f>'Basic Rates'!E144</f>
        <v>750</v>
      </c>
      <c r="H110" s="38">
        <f>F110*G110</f>
        <v>18750</v>
      </c>
    </row>
    <row r="111" ht="20.45" customHeight="1" spans="2:8">
      <c r="B111" s="34">
        <v>1.01999998092651</v>
      </c>
      <c r="C111" s="36" t="s">
        <v>76</v>
      </c>
      <c r="D111" s="34" t="s">
        <v>213</v>
      </c>
      <c r="E111" s="34" t="s">
        <v>175</v>
      </c>
      <c r="F111" s="34">
        <v>8</v>
      </c>
      <c r="G111" s="75">
        <f>'Basic Rates'!J11</f>
        <v>3500</v>
      </c>
      <c r="H111" s="38">
        <f>F111*G111</f>
        <v>28000</v>
      </c>
    </row>
    <row r="112" ht="20.45" customHeight="1" spans="2:8">
      <c r="B112" s="34">
        <v>1.02999997138977</v>
      </c>
      <c r="C112" s="36" t="s">
        <v>208</v>
      </c>
      <c r="D112" s="34" t="s">
        <v>209</v>
      </c>
      <c r="E112" s="34" t="s">
        <v>175</v>
      </c>
      <c r="F112" s="34">
        <v>20</v>
      </c>
      <c r="G112" s="75">
        <f>'Basic Rates'!J10</f>
        <v>2300</v>
      </c>
      <c r="H112" s="38">
        <f>F112*G112</f>
        <v>46000</v>
      </c>
    </row>
    <row r="113" ht="20.45" customHeight="1" spans="2:8">
      <c r="B113" s="61"/>
      <c r="C113" s="61"/>
      <c r="D113" s="39" t="s">
        <v>579</v>
      </c>
      <c r="E113" s="40">
        <f>$F$108</f>
        <v>4.5</v>
      </c>
      <c r="F113" s="40" t="str">
        <f>$G$108</f>
        <v>Sqr</v>
      </c>
      <c r="G113" s="41"/>
      <c r="H113" s="38">
        <f>SUM(H110:H112)</f>
        <v>92750</v>
      </c>
    </row>
    <row r="114" ht="20.45" customHeight="1" spans="2:8">
      <c r="B114" s="61"/>
      <c r="C114" s="61"/>
      <c r="D114" s="39" t="s">
        <v>580</v>
      </c>
      <c r="E114" s="40" t="str">
        <f>$G$108</f>
        <v>Sqr</v>
      </c>
      <c r="F114" s="40"/>
      <c r="G114" s="41"/>
      <c r="H114" s="38">
        <f>H113/F108</f>
        <v>20611.1111111111</v>
      </c>
    </row>
    <row r="115" s="4" customFormat="1" ht="20.1" customHeight="1" spans="1:11">
      <c r="A115" s="42"/>
      <c r="B115" s="43"/>
      <c r="C115" s="43"/>
      <c r="D115" s="44" t="s">
        <v>581</v>
      </c>
      <c r="E115" s="45"/>
      <c r="F115" s="45"/>
      <c r="G115" s="46" t="s">
        <v>582</v>
      </c>
      <c r="H115" s="229">
        <f>H114</f>
        <v>20611.1111111111</v>
      </c>
      <c r="K115" s="58"/>
    </row>
    <row r="116" s="4" customFormat="1" ht="20.1" customHeight="1" spans="1:11">
      <c r="A116" s="42"/>
      <c r="B116" s="43"/>
      <c r="C116" s="43"/>
      <c r="D116" s="44" t="s">
        <v>581</v>
      </c>
      <c r="E116" s="45"/>
      <c r="F116" s="45"/>
      <c r="G116" s="46" t="s">
        <v>583</v>
      </c>
      <c r="H116" s="229">
        <f>H115/100</f>
        <v>206.111111111111</v>
      </c>
      <c r="K116" s="58"/>
    </row>
    <row r="117" s="4" customFormat="1" ht="20.1" customHeight="1" spans="1:11">
      <c r="A117" s="42"/>
      <c r="B117" s="43"/>
      <c r="C117" s="43"/>
      <c r="D117" s="44" t="s">
        <v>581</v>
      </c>
      <c r="E117" s="45"/>
      <c r="F117" s="45"/>
      <c r="G117" s="46" t="s">
        <v>584</v>
      </c>
      <c r="H117" s="229">
        <f>H116*10.76</f>
        <v>2217.75555555556</v>
      </c>
      <c r="K117" s="58"/>
    </row>
  </sheetData>
  <mergeCells count="21">
    <mergeCell ref="A2:H2"/>
    <mergeCell ref="A6:H6"/>
    <mergeCell ref="A8:B8"/>
    <mergeCell ref="C8:H8"/>
    <mergeCell ref="A19:B19"/>
    <mergeCell ref="C19:H19"/>
    <mergeCell ref="A31:B31"/>
    <mergeCell ref="C31:H31"/>
    <mergeCell ref="A42:B42"/>
    <mergeCell ref="C42:H42"/>
    <mergeCell ref="A56:B56"/>
    <mergeCell ref="C56:H56"/>
    <mergeCell ref="A70:B70"/>
    <mergeCell ref="C70:H70"/>
    <mergeCell ref="A83:H83"/>
    <mergeCell ref="A85:B85"/>
    <mergeCell ref="C85:H85"/>
    <mergeCell ref="A96:B96"/>
    <mergeCell ref="C96:H96"/>
    <mergeCell ref="A107:B107"/>
    <mergeCell ref="C107:H107"/>
  </mergeCells>
  <hyperlinks>
    <hyperlink ref="C3" location="'02'!I8" display="Filling"/>
    <hyperlink ref="C4" location="'02'!I98" display="Earthwork Support"/>
  </hyperlinks>
  <printOptions horizontalCentered="1"/>
  <pageMargins left="0.75" right="0.5" top="0.5" bottom="0.5" header="0.25" footer="0.25"/>
  <pageSetup paperSize="9" orientation="portrait" horizontalDpi="300" verticalDpi="300"/>
  <headerFooter alignWithMargins="0">
    <oddHeader>&amp;R&amp;8 Page &amp;P Of &amp;N</oddHeader>
    <oddFooter>&amp;L&amp;8SDS&amp;R&amp;D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indexed="57"/>
  </sheetPr>
  <dimension ref="A1:K37"/>
  <sheetViews>
    <sheetView topLeftCell="A25" workbookViewId="0">
      <selection activeCell="G33" sqref="G33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8.85714285714286" style="7" customWidth="1"/>
    <col min="5" max="5" width="7.42857142857143" style="7" customWidth="1"/>
    <col min="6" max="6" width="7.14285714285714" style="7" customWidth="1"/>
    <col min="7" max="7" width="9.14285714285714" style="9"/>
    <col min="8" max="8" width="11.8571428571429" style="9" customWidth="1"/>
    <col min="9" max="9" width="7.57142857142857" style="6" customWidth="1"/>
    <col min="10" max="16384" width="9.14285714285714" style="6"/>
  </cols>
  <sheetData>
    <row r="1" ht="8.25" customHeight="1"/>
    <row r="2" s="61" customFormat="1" ht="19.5" customHeight="1" spans="1:9">
      <c r="A2" s="221" t="s">
        <v>661</v>
      </c>
      <c r="B2" s="221"/>
      <c r="C2" s="221"/>
      <c r="D2" s="221"/>
      <c r="E2" s="221"/>
      <c r="F2" s="221"/>
      <c r="G2" s="221"/>
      <c r="H2" s="221"/>
      <c r="I2" s="234"/>
    </row>
    <row r="3" ht="15" customHeight="1"/>
    <row r="4" ht="20.25" customHeight="1" spans="2:3">
      <c r="B4" s="222" t="s">
        <v>564</v>
      </c>
      <c r="C4" s="165" t="s">
        <v>662</v>
      </c>
    </row>
    <row r="5" ht="15" customHeight="1" spans="2:3">
      <c r="B5" s="222" t="s">
        <v>566</v>
      </c>
      <c r="C5" s="165" t="s">
        <v>663</v>
      </c>
    </row>
    <row r="6" ht="15" customHeight="1"/>
    <row r="7" ht="20.1" customHeight="1" spans="1:9">
      <c r="A7" s="223" t="s">
        <v>662</v>
      </c>
      <c r="B7" s="224"/>
      <c r="C7" s="224"/>
      <c r="D7" s="224"/>
      <c r="E7" s="224"/>
      <c r="F7" s="224"/>
      <c r="G7" s="224"/>
      <c r="H7" s="225"/>
      <c r="I7" s="56"/>
    </row>
    <row r="8" s="2" customFormat="1" ht="24" customHeight="1" spans="1:9">
      <c r="A8" s="226" t="s">
        <v>664</v>
      </c>
      <c r="B8" s="227"/>
      <c r="C8" s="30" t="s">
        <v>665</v>
      </c>
      <c r="D8" s="30"/>
      <c r="E8" s="30"/>
      <c r="F8" s="30"/>
      <c r="G8" s="30"/>
      <c r="H8" s="30"/>
      <c r="I8" s="57"/>
    </row>
    <row r="9" s="3" customFormat="1" ht="18" customHeight="1" spans="4:8">
      <c r="D9" s="31"/>
      <c r="E9" s="32" t="s">
        <v>570</v>
      </c>
      <c r="F9" s="31">
        <v>1</v>
      </c>
      <c r="G9" s="33" t="s">
        <v>571</v>
      </c>
      <c r="H9" s="33"/>
    </row>
    <row r="10" ht="15" customHeight="1" spans="2:8">
      <c r="B10" s="34" t="s">
        <v>194</v>
      </c>
      <c r="C10" s="34" t="s">
        <v>573</v>
      </c>
      <c r="D10" s="34" t="s">
        <v>574</v>
      </c>
      <c r="E10" s="34" t="s">
        <v>6</v>
      </c>
      <c r="F10" s="34" t="s">
        <v>575</v>
      </c>
      <c r="G10" s="35" t="s">
        <v>576</v>
      </c>
      <c r="H10" s="35" t="s">
        <v>577</v>
      </c>
    </row>
    <row r="11" ht="20.45" customHeight="1" spans="2:8">
      <c r="B11" s="34">
        <v>1</v>
      </c>
      <c r="C11" s="36" t="s">
        <v>277</v>
      </c>
      <c r="D11" s="34" t="s">
        <v>278</v>
      </c>
      <c r="E11" s="34" t="s">
        <v>199</v>
      </c>
      <c r="F11" s="34">
        <v>16</v>
      </c>
      <c r="G11" s="38">
        <f>'Basic Rates'!E41</f>
        <v>25</v>
      </c>
      <c r="H11" s="38">
        <f>F11*G11</f>
        <v>400</v>
      </c>
    </row>
    <row r="12" ht="20.45" customHeight="1" spans="2:8">
      <c r="B12" s="34">
        <v>1.00999999046326</v>
      </c>
      <c r="C12" s="36" t="s">
        <v>36</v>
      </c>
      <c r="D12" s="34" t="s">
        <v>525</v>
      </c>
      <c r="E12" s="34" t="s">
        <v>173</v>
      </c>
      <c r="F12" s="34">
        <v>20</v>
      </c>
      <c r="G12" s="38">
        <f>'Basic Rates'!E161</f>
        <v>0.3</v>
      </c>
      <c r="H12" s="38">
        <f>F12*G12</f>
        <v>6</v>
      </c>
    </row>
    <row r="13" ht="20.45" customHeight="1" spans="2:8">
      <c r="B13" s="34">
        <v>1.01999998092651</v>
      </c>
      <c r="C13" s="36" t="s">
        <v>208</v>
      </c>
      <c r="D13" s="34" t="s">
        <v>209</v>
      </c>
      <c r="E13" s="34" t="s">
        <v>175</v>
      </c>
      <c r="F13" s="34">
        <v>0.5</v>
      </c>
      <c r="G13" s="38">
        <f>'Basic Rates'!J10</f>
        <v>2300</v>
      </c>
      <c r="H13" s="38">
        <f>F13*G13</f>
        <v>1150</v>
      </c>
    </row>
    <row r="14" ht="20.45" customHeight="1" spans="2:8">
      <c r="B14" s="61"/>
      <c r="C14" s="61"/>
      <c r="D14" s="39" t="s">
        <v>579</v>
      </c>
      <c r="E14" s="40">
        <f>$F$9</f>
        <v>1</v>
      </c>
      <c r="F14" s="40" t="str">
        <f>$G$9</f>
        <v>Sqr</v>
      </c>
      <c r="G14" s="228"/>
      <c r="H14" s="38">
        <f>SUM(H11:H13)</f>
        <v>1556</v>
      </c>
    </row>
    <row r="15" ht="20.45" customHeight="1" spans="2:8">
      <c r="B15" s="61"/>
      <c r="C15" s="61"/>
      <c r="D15" s="39" t="s">
        <v>666</v>
      </c>
      <c r="E15" s="40" t="str">
        <f>$G$9</f>
        <v>Sqr</v>
      </c>
      <c r="F15" s="40"/>
      <c r="G15" s="228"/>
      <c r="H15" s="38">
        <f>H14/F9</f>
        <v>1556</v>
      </c>
    </row>
    <row r="16" s="4" customFormat="1" ht="20.1" customHeight="1" spans="1:11">
      <c r="A16" s="42"/>
      <c r="B16" s="43"/>
      <c r="C16" s="43"/>
      <c r="D16" s="44" t="s">
        <v>581</v>
      </c>
      <c r="E16" s="45"/>
      <c r="F16" s="45"/>
      <c r="G16" s="229" t="s">
        <v>582</v>
      </c>
      <c r="H16" s="229">
        <f>H15</f>
        <v>1556</v>
      </c>
      <c r="K16" s="58"/>
    </row>
    <row r="17" ht="20.1" customHeight="1" spans="4:8">
      <c r="D17" s="44" t="s">
        <v>581</v>
      </c>
      <c r="E17" s="45"/>
      <c r="F17" s="45"/>
      <c r="G17" s="230" t="s">
        <v>583</v>
      </c>
      <c r="H17" s="47">
        <f>H16/100</f>
        <v>15.56</v>
      </c>
    </row>
    <row r="18" ht="20.1" customHeight="1" spans="4:8">
      <c r="D18" s="44" t="s">
        <v>581</v>
      </c>
      <c r="E18" s="45"/>
      <c r="F18" s="45"/>
      <c r="G18" s="230" t="s">
        <v>584</v>
      </c>
      <c r="H18" s="47">
        <f>H17*10.76</f>
        <v>167.4256</v>
      </c>
    </row>
    <row r="20" ht="13.5"/>
    <row r="21" s="1" customFormat="1" ht="20.25" customHeight="1" spans="1:9">
      <c r="A21" s="59" t="s">
        <v>663</v>
      </c>
      <c r="B21" s="22"/>
      <c r="C21" s="22"/>
      <c r="D21" s="22"/>
      <c r="E21" s="22"/>
      <c r="F21" s="22"/>
      <c r="G21" s="22"/>
      <c r="H21" s="60"/>
      <c r="I21" s="56"/>
    </row>
    <row r="22" ht="9" customHeight="1"/>
    <row r="23" s="83" customFormat="1" ht="21" customHeight="1" spans="1:9">
      <c r="A23" s="231" t="s">
        <v>667</v>
      </c>
      <c r="B23" s="232"/>
      <c r="C23" s="106" t="s">
        <v>668</v>
      </c>
      <c r="D23" s="106"/>
      <c r="E23" s="106"/>
      <c r="F23" s="106"/>
      <c r="G23" s="106"/>
      <c r="H23" s="106"/>
      <c r="I23" s="128"/>
    </row>
    <row r="24" s="84" customFormat="1" ht="20.25" customHeight="1" spans="4:8">
      <c r="D24" s="107"/>
      <c r="E24" s="108" t="s">
        <v>570</v>
      </c>
      <c r="F24" s="107">
        <v>1</v>
      </c>
      <c r="G24" s="109" t="s">
        <v>571</v>
      </c>
      <c r="H24" s="109"/>
    </row>
    <row r="25" s="85" customFormat="1" ht="15" customHeight="1" spans="2:8">
      <c r="B25" s="110" t="s">
        <v>194</v>
      </c>
      <c r="C25" s="110" t="s">
        <v>573</v>
      </c>
      <c r="D25" s="110" t="s">
        <v>574</v>
      </c>
      <c r="E25" s="110" t="s">
        <v>6</v>
      </c>
      <c r="F25" s="110" t="s">
        <v>575</v>
      </c>
      <c r="G25" s="111" t="s">
        <v>576</v>
      </c>
      <c r="H25" s="111" t="s">
        <v>577</v>
      </c>
    </row>
    <row r="26" s="89" customFormat="1" ht="20.45" customHeight="1" spans="2:8">
      <c r="B26" s="112">
        <v>1.00999999046326</v>
      </c>
      <c r="C26" s="113" t="s">
        <v>24</v>
      </c>
      <c r="D26" s="112" t="s">
        <v>253</v>
      </c>
      <c r="E26" s="455" t="s">
        <v>254</v>
      </c>
      <c r="F26" s="112">
        <v>2.25</v>
      </c>
      <c r="G26" s="115">
        <f>'Basic Rates'!E29</f>
        <v>2400</v>
      </c>
      <c r="H26" s="115">
        <f t="shared" ref="H26:H32" si="0">G26*F26</f>
        <v>5400</v>
      </c>
    </row>
    <row r="27" s="89" customFormat="1" ht="20.45" customHeight="1" spans="2:8">
      <c r="B27" s="112">
        <v>1.01999998092651</v>
      </c>
      <c r="C27" s="113" t="s">
        <v>28</v>
      </c>
      <c r="D27" s="112" t="s">
        <v>433</v>
      </c>
      <c r="E27" s="112" t="s">
        <v>288</v>
      </c>
      <c r="F27" s="112">
        <v>0.11</v>
      </c>
      <c r="G27" s="115">
        <f>'Basic Rates'!E116</f>
        <v>18000</v>
      </c>
      <c r="H27" s="115">
        <f t="shared" si="0"/>
        <v>1980</v>
      </c>
    </row>
    <row r="28" s="89" customFormat="1" ht="20.45" customHeight="1" spans="2:8">
      <c r="B28" s="112">
        <v>1.02999997138977</v>
      </c>
      <c r="C28" s="113" t="s">
        <v>202</v>
      </c>
      <c r="D28" s="112" t="s">
        <v>203</v>
      </c>
      <c r="E28" s="112" t="s">
        <v>173</v>
      </c>
      <c r="F28" s="112">
        <v>1.5</v>
      </c>
      <c r="G28" s="115">
        <f>'Basic Rates'!E9</f>
        <v>80</v>
      </c>
      <c r="H28" s="115">
        <f t="shared" si="0"/>
        <v>120</v>
      </c>
    </row>
    <row r="29" s="89" customFormat="1" ht="20.45" customHeight="1" spans="2:8">
      <c r="B29" s="112">
        <v>1.03999996185303</v>
      </c>
      <c r="C29" s="113" t="s">
        <v>295</v>
      </c>
      <c r="D29" s="112" t="s">
        <v>296</v>
      </c>
      <c r="E29" s="112" t="s">
        <v>199</v>
      </c>
      <c r="F29" s="112">
        <v>10</v>
      </c>
      <c r="G29" s="115">
        <f>'Basic Rates'!E49</f>
        <v>250</v>
      </c>
      <c r="H29" s="115">
        <f t="shared" si="0"/>
        <v>2500</v>
      </c>
    </row>
    <row r="30" s="89" customFormat="1" ht="20.45" customHeight="1" spans="2:8">
      <c r="B30" s="112">
        <v>1.04999995231628</v>
      </c>
      <c r="C30" s="113" t="s">
        <v>36</v>
      </c>
      <c r="D30" s="34" t="s">
        <v>525</v>
      </c>
      <c r="E30" s="455" t="s">
        <v>173</v>
      </c>
      <c r="F30" s="112">
        <v>10</v>
      </c>
      <c r="G30" s="38">
        <f>'Basic Rates'!E161</f>
        <v>0.3</v>
      </c>
      <c r="H30" s="115">
        <f t="shared" si="0"/>
        <v>3</v>
      </c>
    </row>
    <row r="31" s="89" customFormat="1" ht="20.45" customHeight="1" spans="2:8">
      <c r="B31" s="112">
        <v>1.05999994277954</v>
      </c>
      <c r="C31" s="113" t="s">
        <v>217</v>
      </c>
      <c r="D31" s="112" t="s">
        <v>218</v>
      </c>
      <c r="E31" s="112" t="s">
        <v>175</v>
      </c>
      <c r="F31" s="112">
        <v>1.25</v>
      </c>
      <c r="G31" s="115">
        <f>'Basic Rates'!J6</f>
        <v>3500</v>
      </c>
      <c r="H31" s="115">
        <f t="shared" si="0"/>
        <v>4375</v>
      </c>
    </row>
    <row r="32" s="89" customFormat="1" ht="20.45" customHeight="1" spans="2:8">
      <c r="B32" s="112">
        <v>1.07000005245209</v>
      </c>
      <c r="C32" s="113" t="s">
        <v>208</v>
      </c>
      <c r="D32" s="34" t="s">
        <v>209</v>
      </c>
      <c r="E32" s="112" t="s">
        <v>175</v>
      </c>
      <c r="F32" s="112">
        <v>2.5</v>
      </c>
      <c r="G32" s="38">
        <f>'Basic Rates'!J10</f>
        <v>2300</v>
      </c>
      <c r="H32" s="115">
        <f t="shared" si="0"/>
        <v>5750</v>
      </c>
    </row>
    <row r="33" s="89" customFormat="1" ht="20.45" customHeight="1" spans="2:8">
      <c r="B33" s="129"/>
      <c r="C33" s="129"/>
      <c r="D33" s="116" t="s">
        <v>579</v>
      </c>
      <c r="E33" s="117">
        <f>F24</f>
        <v>1</v>
      </c>
      <c r="F33" s="117" t="str">
        <f>$G$24</f>
        <v>Sqr</v>
      </c>
      <c r="G33" s="233"/>
      <c r="H33" s="115">
        <f>SUM(H26:H32)</f>
        <v>20128</v>
      </c>
    </row>
    <row r="34" s="89" customFormat="1" ht="20.45" customHeight="1" spans="2:8">
      <c r="B34" s="129"/>
      <c r="C34" s="129"/>
      <c r="D34" s="116" t="s">
        <v>580</v>
      </c>
      <c r="E34" s="117" t="str">
        <f>$G$24</f>
        <v>Sqr</v>
      </c>
      <c r="F34" s="117"/>
      <c r="G34" s="233"/>
      <c r="H34" s="115">
        <f>H33/F24</f>
        <v>20128</v>
      </c>
    </row>
    <row r="35" s="81" customFormat="1" ht="20.1" customHeight="1" spans="1:11">
      <c r="A35" s="93"/>
      <c r="B35" s="125"/>
      <c r="C35" s="125"/>
      <c r="D35" s="124" t="s">
        <v>581</v>
      </c>
      <c r="E35" s="121"/>
      <c r="F35" s="121"/>
      <c r="G35" s="229" t="s">
        <v>582</v>
      </c>
      <c r="H35" s="123">
        <f>ROUND(H34,0)</f>
        <v>20128</v>
      </c>
      <c r="K35" s="132"/>
    </row>
    <row r="36" s="81" customFormat="1" ht="20.1" customHeight="1" spans="1:11">
      <c r="A36" s="93"/>
      <c r="B36" s="125"/>
      <c r="C36" s="125"/>
      <c r="D36" s="124" t="s">
        <v>581</v>
      </c>
      <c r="E36" s="121"/>
      <c r="F36" s="121"/>
      <c r="G36" s="230" t="s">
        <v>583</v>
      </c>
      <c r="H36" s="123">
        <f>H35/100</f>
        <v>201.28</v>
      </c>
      <c r="K36" s="132"/>
    </row>
    <row r="37" s="81" customFormat="1" ht="20.1" customHeight="1" spans="1:11">
      <c r="A37" s="93"/>
      <c r="B37" s="125"/>
      <c r="C37" s="125"/>
      <c r="D37" s="124" t="s">
        <v>581</v>
      </c>
      <c r="E37" s="121"/>
      <c r="F37" s="121"/>
      <c r="G37" s="230" t="s">
        <v>584</v>
      </c>
      <c r="H37" s="123">
        <f>H36*10.76</f>
        <v>2165.7728</v>
      </c>
      <c r="K37" s="132"/>
    </row>
  </sheetData>
  <mergeCells count="7">
    <mergeCell ref="A2:H2"/>
    <mergeCell ref="A7:H7"/>
    <mergeCell ref="A8:B8"/>
    <mergeCell ref="C8:H8"/>
    <mergeCell ref="A21:H21"/>
    <mergeCell ref="A23:B23"/>
    <mergeCell ref="C23:H23"/>
  </mergeCells>
  <hyperlinks>
    <hyperlink ref="C4" location="'03'!I14" display="Anti Termite Treatment"/>
    <hyperlink ref="C5" location="'03'!I30" display="DPC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  <oddFooter>&amp;L&amp;08Road Development Department - North - East Province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indexed="44"/>
  </sheetPr>
  <dimension ref="A1:FQ33"/>
  <sheetViews>
    <sheetView topLeftCell="A4" workbookViewId="0">
      <selection activeCell="G28" sqref="G28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9" width="9.28571428571429" style="6" customWidth="1"/>
    <col min="10" max="10" width="1.85714285714286" style="6" customWidth="1"/>
    <col min="11" max="11" width="10" style="6" customWidth="1"/>
    <col min="12" max="16384" width="9.14285714285714" style="6"/>
  </cols>
  <sheetData>
    <row r="1" s="4" customFormat="1" ht="9.75" customHeight="1" spans="1:8">
      <c r="A1" s="42"/>
      <c r="B1" s="42"/>
      <c r="C1" s="42"/>
      <c r="D1" s="50"/>
      <c r="E1" s="51"/>
      <c r="F1" s="51"/>
      <c r="G1" s="52"/>
      <c r="H1" s="53"/>
    </row>
    <row r="2" ht="20.1" customHeight="1" spans="1:9">
      <c r="A2" s="220" t="s">
        <v>669</v>
      </c>
      <c r="B2" s="220"/>
      <c r="C2" s="220"/>
      <c r="D2" s="220"/>
      <c r="E2" s="220"/>
      <c r="F2" s="220"/>
      <c r="G2" s="220"/>
      <c r="H2" s="220"/>
      <c r="I2" s="54"/>
    </row>
    <row r="3" ht="17.25" customHeight="1"/>
    <row r="4" s="2" customFormat="1" ht="26.25" customHeight="1" spans="1:9">
      <c r="A4" s="456" t="s">
        <v>670</v>
      </c>
      <c r="B4" s="74"/>
      <c r="C4" s="30" t="s">
        <v>671</v>
      </c>
      <c r="D4" s="30"/>
      <c r="E4" s="30"/>
      <c r="F4" s="30"/>
      <c r="G4" s="30"/>
      <c r="H4" s="30"/>
      <c r="I4" s="57"/>
    </row>
    <row r="5" s="3" customFormat="1" ht="16.5" customHeight="1" spans="4:8">
      <c r="D5" s="31"/>
      <c r="E5" s="32" t="s">
        <v>570</v>
      </c>
      <c r="F5" s="31">
        <v>1</v>
      </c>
      <c r="G5" s="32" t="s">
        <v>288</v>
      </c>
      <c r="H5" s="33"/>
    </row>
    <row r="6" ht="17.25" customHeight="1" spans="2:8">
      <c r="B6" s="34" t="s">
        <v>194</v>
      </c>
      <c r="C6" s="34" t="s">
        <v>573</v>
      </c>
      <c r="D6" s="34" t="s">
        <v>574</v>
      </c>
      <c r="E6" s="34" t="s">
        <v>6</v>
      </c>
      <c r="F6" s="34" t="s">
        <v>575</v>
      </c>
      <c r="G6" s="34" t="s">
        <v>576</v>
      </c>
      <c r="H6" s="35" t="s">
        <v>577</v>
      </c>
    </row>
    <row r="7" ht="20.45" customHeight="1" spans="2:8">
      <c r="B7" s="34">
        <v>1.01</v>
      </c>
      <c r="C7" s="36" t="s">
        <v>672</v>
      </c>
      <c r="D7" s="34" t="s">
        <v>430</v>
      </c>
      <c r="E7" s="34" t="s">
        <v>288</v>
      </c>
      <c r="F7" s="34">
        <v>1.3</v>
      </c>
      <c r="G7" s="75">
        <f>'Basic Rates'!E114</f>
        <v>9000</v>
      </c>
      <c r="H7" s="38">
        <f t="shared" ref="H7:H12" si="0">G7*F7</f>
        <v>11700</v>
      </c>
    </row>
    <row r="8" ht="20.45" customHeight="1" spans="2:8">
      <c r="B8" s="34">
        <f>B7+0.01</f>
        <v>1.02</v>
      </c>
      <c r="C8" s="36" t="s">
        <v>24</v>
      </c>
      <c r="D8" s="34" t="s">
        <v>253</v>
      </c>
      <c r="E8" s="457" t="s">
        <v>254</v>
      </c>
      <c r="F8" s="34">
        <v>5</v>
      </c>
      <c r="G8" s="75">
        <f>'Basic Rates'!E29</f>
        <v>2400</v>
      </c>
      <c r="H8" s="38">
        <f t="shared" si="0"/>
        <v>12000</v>
      </c>
    </row>
    <row r="9" ht="20.45" customHeight="1" spans="2:8">
      <c r="B9" s="34">
        <f>B8+0.01</f>
        <v>1.03</v>
      </c>
      <c r="C9" s="36" t="s">
        <v>28</v>
      </c>
      <c r="D9" s="34" t="s">
        <v>433</v>
      </c>
      <c r="E9" s="34" t="s">
        <v>288</v>
      </c>
      <c r="F9" s="34">
        <v>0.3</v>
      </c>
      <c r="G9" s="75">
        <f>'Basic Rates'!E116</f>
        <v>18000</v>
      </c>
      <c r="H9" s="38">
        <f t="shared" si="0"/>
        <v>5400</v>
      </c>
    </row>
    <row r="10" ht="20.45" customHeight="1" spans="2:8">
      <c r="B10" s="34">
        <f>B9+0.01</f>
        <v>1.04</v>
      </c>
      <c r="C10" s="36" t="s">
        <v>36</v>
      </c>
      <c r="D10" s="34" t="s">
        <v>525</v>
      </c>
      <c r="E10" s="457" t="s">
        <v>173</v>
      </c>
      <c r="F10" s="34">
        <v>100</v>
      </c>
      <c r="G10" s="75">
        <f>'Basic Rates'!E161</f>
        <v>0.3</v>
      </c>
      <c r="H10" s="38">
        <f t="shared" si="0"/>
        <v>30</v>
      </c>
    </row>
    <row r="11" ht="20.45" customHeight="1" spans="2:8">
      <c r="B11" s="34">
        <f>B10+0.01</f>
        <v>1.05</v>
      </c>
      <c r="C11" s="36" t="s">
        <v>217</v>
      </c>
      <c r="D11" s="34" t="s">
        <v>218</v>
      </c>
      <c r="E11" s="457" t="s">
        <v>175</v>
      </c>
      <c r="F11" s="34">
        <v>4</v>
      </c>
      <c r="G11" s="75">
        <f>'Basic Rates'!J6</f>
        <v>3500</v>
      </c>
      <c r="H11" s="38">
        <f t="shared" si="0"/>
        <v>14000</v>
      </c>
    </row>
    <row r="12" ht="20.45" customHeight="1" spans="2:8">
      <c r="B12" s="34">
        <f>B11+0.01</f>
        <v>1.06</v>
      </c>
      <c r="C12" s="36" t="s">
        <v>208</v>
      </c>
      <c r="D12" s="34" t="s">
        <v>209</v>
      </c>
      <c r="E12" s="34" t="s">
        <v>175</v>
      </c>
      <c r="F12" s="34">
        <v>6</v>
      </c>
      <c r="G12" s="75">
        <f>'Basic Rates'!J10</f>
        <v>2300</v>
      </c>
      <c r="H12" s="38">
        <f t="shared" si="0"/>
        <v>13800</v>
      </c>
    </row>
    <row r="13" ht="20.1" customHeight="1" spans="2:8">
      <c r="B13" s="61"/>
      <c r="C13" s="61"/>
      <c r="D13" s="39" t="s">
        <v>579</v>
      </c>
      <c r="E13" s="40">
        <f>$F$5</f>
        <v>1</v>
      </c>
      <c r="F13" s="40" t="str">
        <f>$G$5</f>
        <v>Cube</v>
      </c>
      <c r="G13" s="41"/>
      <c r="H13" s="38">
        <f>SUM(H7:H12)</f>
        <v>56930</v>
      </c>
    </row>
    <row r="14" ht="20.1" customHeight="1" spans="2:8">
      <c r="B14" s="61"/>
      <c r="C14" s="61"/>
      <c r="D14" s="39" t="s">
        <v>580</v>
      </c>
      <c r="E14" s="40" t="str">
        <f>$G$5</f>
        <v>Cube</v>
      </c>
      <c r="F14" s="40"/>
      <c r="G14" s="41"/>
      <c r="H14" s="38">
        <f>H13/F5</f>
        <v>56930</v>
      </c>
    </row>
    <row r="15" s="4" customFormat="1" ht="20.1" customHeight="1" spans="1:8">
      <c r="A15" s="42"/>
      <c r="B15" s="43"/>
      <c r="C15" s="43"/>
      <c r="D15" s="44" t="s">
        <v>581</v>
      </c>
      <c r="E15" s="45"/>
      <c r="F15" s="45"/>
      <c r="G15" s="46" t="s">
        <v>595</v>
      </c>
      <c r="H15" s="47">
        <f>ROUND(H14,0)</f>
        <v>56930</v>
      </c>
    </row>
    <row r="16" s="4" customFormat="1" ht="20.1" customHeight="1" spans="1:8">
      <c r="A16" s="42"/>
      <c r="B16" s="43"/>
      <c r="C16" s="43"/>
      <c r="D16" s="44" t="s">
        <v>581</v>
      </c>
      <c r="E16" s="45"/>
      <c r="F16" s="45"/>
      <c r="G16" s="46" t="s">
        <v>596</v>
      </c>
      <c r="H16" s="47">
        <f>H15/100</f>
        <v>569.3</v>
      </c>
    </row>
    <row r="17" s="4" customFormat="1" ht="20.1" customHeight="1" spans="1:11">
      <c r="A17" s="42"/>
      <c r="B17" s="43"/>
      <c r="C17" s="43"/>
      <c r="D17" s="44" t="s">
        <v>581</v>
      </c>
      <c r="E17" s="45"/>
      <c r="F17" s="45"/>
      <c r="G17" s="46" t="s">
        <v>597</v>
      </c>
      <c r="H17" s="47">
        <f>H15/2.83</f>
        <v>20116.6077738516</v>
      </c>
      <c r="K17" s="198"/>
    </row>
    <row r="18" s="1" customFormat="1" ht="20.1" customHeight="1" spans="2:8">
      <c r="B18" s="25"/>
      <c r="C18" s="26"/>
      <c r="D18" s="26"/>
      <c r="E18" s="26"/>
      <c r="F18" s="26"/>
      <c r="G18" s="27"/>
      <c r="H18" s="28"/>
    </row>
    <row r="19" s="142" customFormat="1" ht="23.25" customHeight="1" spans="1:173">
      <c r="A19" s="456" t="s">
        <v>673</v>
      </c>
      <c r="B19" s="74"/>
      <c r="C19" s="30" t="s">
        <v>674</v>
      </c>
      <c r="D19" s="30"/>
      <c r="E19" s="30"/>
      <c r="F19" s="30"/>
      <c r="G19" s="30"/>
      <c r="H19" s="3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</row>
    <row r="20" ht="14.25" customHeight="1" spans="1:8">
      <c r="A20" s="3"/>
      <c r="B20" s="3"/>
      <c r="C20" s="3"/>
      <c r="D20" s="31"/>
      <c r="E20" s="32" t="s">
        <v>570</v>
      </c>
      <c r="F20" s="31">
        <v>1</v>
      </c>
      <c r="G20" s="32" t="s">
        <v>288</v>
      </c>
      <c r="H20" s="33"/>
    </row>
    <row r="21" ht="14.25" customHeight="1" spans="2:8">
      <c r="B21" s="34" t="s">
        <v>194</v>
      </c>
      <c r="C21" s="34" t="s">
        <v>573</v>
      </c>
      <c r="D21" s="34" t="s">
        <v>574</v>
      </c>
      <c r="E21" s="34" t="s">
        <v>6</v>
      </c>
      <c r="F21" s="34" t="s">
        <v>575</v>
      </c>
      <c r="G21" s="34" t="s">
        <v>576</v>
      </c>
      <c r="H21" s="35" t="s">
        <v>577</v>
      </c>
    </row>
    <row r="22" ht="20.45" customHeight="1" spans="2:8">
      <c r="B22" s="34">
        <v>1.01</v>
      </c>
      <c r="C22" s="36" t="s">
        <v>672</v>
      </c>
      <c r="D22" s="34" t="s">
        <v>430</v>
      </c>
      <c r="E22" s="457" t="s">
        <v>638</v>
      </c>
      <c r="F22" s="34">
        <v>1.3</v>
      </c>
      <c r="G22" s="75">
        <f>'Basic Rates'!E114</f>
        <v>9000</v>
      </c>
      <c r="H22" s="38">
        <f t="shared" ref="H22:H27" si="1">G22*F22</f>
        <v>11700</v>
      </c>
    </row>
    <row r="23" ht="20.45" customHeight="1" spans="2:8">
      <c r="B23" s="34">
        <f t="shared" ref="B23:B28" si="2">B22+0.01</f>
        <v>1.02</v>
      </c>
      <c r="C23" s="36" t="s">
        <v>24</v>
      </c>
      <c r="D23" s="34" t="s">
        <v>253</v>
      </c>
      <c r="E23" s="457" t="s">
        <v>254</v>
      </c>
      <c r="F23" s="34">
        <v>5</v>
      </c>
      <c r="G23" s="75">
        <f>'Basic Rates'!E29</f>
        <v>2400</v>
      </c>
      <c r="H23" s="38">
        <f t="shared" si="1"/>
        <v>12000</v>
      </c>
    </row>
    <row r="24" ht="20.45" customHeight="1" spans="2:8">
      <c r="B24" s="34">
        <f t="shared" si="2"/>
        <v>1.03</v>
      </c>
      <c r="C24" s="36" t="s">
        <v>28</v>
      </c>
      <c r="D24" s="34" t="s">
        <v>433</v>
      </c>
      <c r="E24" s="34" t="s">
        <v>638</v>
      </c>
      <c r="F24" s="34">
        <v>0.3</v>
      </c>
      <c r="G24" s="75">
        <f>'Basic Rates'!E116</f>
        <v>18000</v>
      </c>
      <c r="H24" s="38">
        <f t="shared" si="1"/>
        <v>5400</v>
      </c>
    </row>
    <row r="25" ht="20.45" customHeight="1" spans="2:8">
      <c r="B25" s="34">
        <f t="shared" si="2"/>
        <v>1.04</v>
      </c>
      <c r="C25" s="36" t="s">
        <v>36</v>
      </c>
      <c r="D25" s="34" t="s">
        <v>525</v>
      </c>
      <c r="E25" s="457" t="s">
        <v>173</v>
      </c>
      <c r="F25" s="34">
        <v>100</v>
      </c>
      <c r="G25" s="75">
        <f>'Basic Rates'!E161</f>
        <v>0.3</v>
      </c>
      <c r="H25" s="38">
        <f t="shared" si="1"/>
        <v>30</v>
      </c>
    </row>
    <row r="26" ht="20.45" customHeight="1" spans="2:8">
      <c r="B26" s="34">
        <f t="shared" si="2"/>
        <v>1.05</v>
      </c>
      <c r="C26" s="36" t="s">
        <v>217</v>
      </c>
      <c r="D26" s="34" t="s">
        <v>218</v>
      </c>
      <c r="E26" s="457" t="s">
        <v>175</v>
      </c>
      <c r="F26" s="34">
        <v>4.5</v>
      </c>
      <c r="G26" s="75">
        <f>'Basic Rates'!J6</f>
        <v>3500</v>
      </c>
      <c r="H26" s="38">
        <f t="shared" si="1"/>
        <v>15750</v>
      </c>
    </row>
    <row r="27" ht="20.45" customHeight="1" spans="2:8">
      <c r="B27" s="34">
        <f t="shared" si="2"/>
        <v>1.06</v>
      </c>
      <c r="C27" s="36" t="s">
        <v>208</v>
      </c>
      <c r="D27" s="34" t="s">
        <v>209</v>
      </c>
      <c r="E27" s="34" t="s">
        <v>175</v>
      </c>
      <c r="F27" s="34">
        <v>7</v>
      </c>
      <c r="G27" s="75">
        <f>'Basic Rates'!J10</f>
        <v>2300</v>
      </c>
      <c r="H27" s="38">
        <f t="shared" si="1"/>
        <v>16100</v>
      </c>
    </row>
    <row r="28" ht="27.75" customHeight="1" spans="2:8">
      <c r="B28" s="34">
        <f t="shared" si="2"/>
        <v>1.07</v>
      </c>
      <c r="C28" s="36" t="s">
        <v>675</v>
      </c>
      <c r="D28" s="457" t="s">
        <v>676</v>
      </c>
      <c r="E28" s="457" t="s">
        <v>676</v>
      </c>
      <c r="F28" s="457" t="s">
        <v>676</v>
      </c>
      <c r="G28" s="457" t="s">
        <v>676</v>
      </c>
      <c r="H28" s="38">
        <f>(H26+H27)*3/100</f>
        <v>955.5</v>
      </c>
    </row>
    <row r="29" ht="20.45" customHeight="1" spans="2:8">
      <c r="B29" s="61"/>
      <c r="C29" s="61"/>
      <c r="D29" s="39" t="s">
        <v>579</v>
      </c>
      <c r="E29" s="40">
        <f>$F$20</f>
        <v>1</v>
      </c>
      <c r="F29" s="40" t="str">
        <f>$G$20</f>
        <v>Cube</v>
      </c>
      <c r="G29" s="41"/>
      <c r="H29" s="38">
        <f>SUM(H22:H28)</f>
        <v>61935.5</v>
      </c>
    </row>
    <row r="30" ht="20.45" customHeight="1" spans="2:8">
      <c r="B30" s="61"/>
      <c r="C30" s="61"/>
      <c r="D30" s="39" t="s">
        <v>580</v>
      </c>
      <c r="E30" s="40" t="str">
        <f>$G$20</f>
        <v>Cube</v>
      </c>
      <c r="F30" s="40"/>
      <c r="G30" s="41"/>
      <c r="H30" s="38">
        <f>H29/F20</f>
        <v>61935.5</v>
      </c>
    </row>
    <row r="31" s="4" customFormat="1" ht="20.1" customHeight="1" spans="1:8">
      <c r="A31" s="42"/>
      <c r="B31" s="43"/>
      <c r="C31" s="43"/>
      <c r="D31" s="44" t="s">
        <v>581</v>
      </c>
      <c r="E31" s="45"/>
      <c r="F31" s="45"/>
      <c r="G31" s="46" t="s">
        <v>595</v>
      </c>
      <c r="H31" s="47">
        <f>ROUND(H30,0)</f>
        <v>61936</v>
      </c>
    </row>
    <row r="32" s="4" customFormat="1" ht="20.1" customHeight="1" spans="1:8">
      <c r="A32" s="42"/>
      <c r="B32" s="43"/>
      <c r="C32" s="43"/>
      <c r="D32" s="44" t="s">
        <v>581</v>
      </c>
      <c r="E32" s="45"/>
      <c r="F32" s="45"/>
      <c r="G32" s="46" t="s">
        <v>596</v>
      </c>
      <c r="H32" s="47">
        <f>H31/100</f>
        <v>619.36</v>
      </c>
    </row>
    <row r="33" s="4" customFormat="1" ht="20.1" customHeight="1" spans="1:8">
      <c r="A33" s="42"/>
      <c r="B33" s="43"/>
      <c r="C33" s="43"/>
      <c r="D33" s="44" t="s">
        <v>581</v>
      </c>
      <c r="E33" s="45"/>
      <c r="F33" s="45"/>
      <c r="G33" s="46" t="s">
        <v>597</v>
      </c>
      <c r="H33" s="47">
        <f>H31/2.83</f>
        <v>21885.5123674912</v>
      </c>
    </row>
  </sheetData>
  <mergeCells count="5">
    <mergeCell ref="A2:H2"/>
    <mergeCell ref="A4:B4"/>
    <mergeCell ref="C4:H4"/>
    <mergeCell ref="A19:B19"/>
    <mergeCell ref="C19:H19"/>
  </mergeCell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14"/>
  </sheetPr>
  <dimension ref="A1:M447"/>
  <sheetViews>
    <sheetView topLeftCell="A58" workbookViewId="0">
      <selection activeCell="J72" sqref="J72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201" customWidth="1"/>
    <col min="9" max="9" width="9.85714285714286" style="6" customWidth="1"/>
    <col min="10" max="10" width="11" style="197" customWidth="1"/>
    <col min="11" max="11" width="5.85714285714286" style="6" customWidth="1"/>
    <col min="12" max="12" width="5" style="6" customWidth="1"/>
    <col min="13" max="16384" width="9.14285714285714" style="6"/>
  </cols>
  <sheetData>
    <row r="1" s="4" customFormat="1" ht="9" customHeight="1" spans="4:10">
      <c r="D1" s="146"/>
      <c r="E1" s="147"/>
      <c r="F1" s="147"/>
      <c r="G1" s="148"/>
      <c r="H1" s="149"/>
      <c r="J1" s="207"/>
    </row>
    <row r="2" ht="20.1" customHeight="1" spans="1:9">
      <c r="A2" s="202" t="s">
        <v>677</v>
      </c>
      <c r="B2" s="202"/>
      <c r="C2" s="202"/>
      <c r="D2" s="202"/>
      <c r="E2" s="202"/>
      <c r="F2" s="202"/>
      <c r="G2" s="202"/>
      <c r="H2" s="202"/>
      <c r="I2" s="54"/>
    </row>
    <row r="3" s="1" customFormat="1" ht="9" customHeight="1" spans="1:10">
      <c r="A3" s="11"/>
      <c r="B3" s="12"/>
      <c r="C3" s="13"/>
      <c r="D3" s="14"/>
      <c r="E3" s="14"/>
      <c r="F3" s="14"/>
      <c r="G3" s="15"/>
      <c r="H3" s="16"/>
      <c r="I3" s="55"/>
      <c r="J3" s="28"/>
    </row>
    <row r="4" s="1" customFormat="1" ht="20.1" customHeight="1" spans="1:10">
      <c r="A4" s="11"/>
      <c r="B4" s="17" t="s">
        <v>564</v>
      </c>
      <c r="C4" s="203" t="s">
        <v>678</v>
      </c>
      <c r="D4" s="14"/>
      <c r="E4" s="14"/>
      <c r="F4" s="14"/>
      <c r="G4" s="15"/>
      <c r="H4" s="16"/>
      <c r="I4" s="55"/>
      <c r="J4" s="28"/>
    </row>
    <row r="5" s="1" customFormat="1" ht="20.1" customHeight="1" spans="1:10">
      <c r="A5" s="11"/>
      <c r="B5" s="17" t="s">
        <v>566</v>
      </c>
      <c r="C5" s="18" t="s">
        <v>679</v>
      </c>
      <c r="D5" s="14"/>
      <c r="E5" s="14"/>
      <c r="F5" s="14"/>
      <c r="G5" s="15"/>
      <c r="H5" s="16"/>
      <c r="I5" s="55"/>
      <c r="J5" s="28"/>
    </row>
    <row r="6" s="1" customFormat="1" ht="20.1" customHeight="1" spans="1:10">
      <c r="A6" s="11"/>
      <c r="B6" s="17" t="s">
        <v>680</v>
      </c>
      <c r="C6" s="203" t="s">
        <v>681</v>
      </c>
      <c r="D6" s="14"/>
      <c r="E6" s="14"/>
      <c r="F6" s="14"/>
      <c r="G6" s="15"/>
      <c r="H6" s="16"/>
      <c r="I6" s="55"/>
      <c r="J6" s="28"/>
    </row>
    <row r="7" s="1" customFormat="1" ht="20.1" customHeight="1" spans="1:10">
      <c r="A7" s="11"/>
      <c r="B7" s="17" t="s">
        <v>682</v>
      </c>
      <c r="C7" s="18" t="s">
        <v>683</v>
      </c>
      <c r="D7" s="14"/>
      <c r="E7" s="14"/>
      <c r="F7" s="14"/>
      <c r="G7" s="15"/>
      <c r="H7" s="16"/>
      <c r="I7" s="55"/>
      <c r="J7" s="28"/>
    </row>
    <row r="8" s="1" customFormat="1" ht="20.1" customHeight="1" spans="1:10">
      <c r="A8" s="11"/>
      <c r="B8" s="17" t="s">
        <v>684</v>
      </c>
      <c r="C8" s="18" t="s">
        <v>685</v>
      </c>
      <c r="D8" s="14"/>
      <c r="E8" s="14"/>
      <c r="F8" s="14"/>
      <c r="G8" s="15"/>
      <c r="H8" s="16"/>
      <c r="I8" s="55"/>
      <c r="J8" s="28"/>
    </row>
    <row r="9" s="1" customFormat="1" ht="20.1" customHeight="1" spans="1:10">
      <c r="A9" s="11"/>
      <c r="B9" s="17" t="s">
        <v>686</v>
      </c>
      <c r="C9" s="18" t="s">
        <v>687</v>
      </c>
      <c r="D9" s="14"/>
      <c r="E9" s="14"/>
      <c r="F9" s="14"/>
      <c r="G9" s="15"/>
      <c r="H9" s="16"/>
      <c r="I9" s="55"/>
      <c r="J9" s="28"/>
    </row>
    <row r="10" s="1" customFormat="1" ht="20.1" customHeight="1" spans="1:10">
      <c r="A10" s="11"/>
      <c r="B10" s="17" t="s">
        <v>688</v>
      </c>
      <c r="C10" s="18" t="s">
        <v>689</v>
      </c>
      <c r="D10" s="14"/>
      <c r="E10" s="14"/>
      <c r="F10" s="14"/>
      <c r="G10" s="15"/>
      <c r="H10" s="16"/>
      <c r="I10" s="55"/>
      <c r="J10" s="28"/>
    </row>
    <row r="11" s="1" customFormat="1" ht="11.25" customHeight="1" spans="1:10">
      <c r="A11" s="11"/>
      <c r="B11" s="13"/>
      <c r="C11" s="14"/>
      <c r="D11" s="14"/>
      <c r="E11" s="14"/>
      <c r="F11" s="14"/>
      <c r="G11" s="15"/>
      <c r="H11" s="144"/>
      <c r="J11" s="28"/>
    </row>
    <row r="12" s="1" customFormat="1" ht="20.25" customHeight="1" spans="1:10">
      <c r="A12" s="19"/>
      <c r="B12" s="20"/>
      <c r="C12" s="21"/>
      <c r="D12" s="22" t="s">
        <v>678</v>
      </c>
      <c r="E12" s="21"/>
      <c r="F12" s="21"/>
      <c r="G12" s="23"/>
      <c r="H12" s="24"/>
      <c r="I12" s="56"/>
      <c r="J12" s="28"/>
    </row>
    <row r="13" s="1" customFormat="1" ht="9" customHeight="1" spans="2:10">
      <c r="B13" s="25"/>
      <c r="C13" s="26"/>
      <c r="D13" s="26"/>
      <c r="E13" s="26"/>
      <c r="F13" s="26"/>
      <c r="G13" s="27"/>
      <c r="H13" s="28"/>
      <c r="J13" s="28"/>
    </row>
    <row r="14" s="1" customFormat="1" ht="20.45" customHeight="1" spans="1:10">
      <c r="A14" s="29" t="s">
        <v>690</v>
      </c>
      <c r="B14" s="29"/>
      <c r="C14" s="30" t="s">
        <v>691</v>
      </c>
      <c r="D14" s="30"/>
      <c r="E14" s="30"/>
      <c r="F14" s="30"/>
      <c r="G14" s="30"/>
      <c r="H14" s="30"/>
      <c r="J14" s="28"/>
    </row>
    <row r="15" s="1" customFormat="1" ht="16.5" customHeight="1" spans="1:10">
      <c r="A15" s="3"/>
      <c r="B15" s="3"/>
      <c r="C15" s="3"/>
      <c r="D15" s="31"/>
      <c r="E15" s="32" t="s">
        <v>570</v>
      </c>
      <c r="F15" s="31">
        <v>1</v>
      </c>
      <c r="G15" s="32" t="s">
        <v>288</v>
      </c>
      <c r="H15" s="204"/>
      <c r="J15" s="28"/>
    </row>
    <row r="16" s="1" customFormat="1" ht="20.45" customHeight="1" spans="2:10">
      <c r="B16" s="205" t="s">
        <v>572</v>
      </c>
      <c r="C16" s="205" t="s">
        <v>573</v>
      </c>
      <c r="D16" s="205" t="s">
        <v>574</v>
      </c>
      <c r="E16" s="205" t="s">
        <v>6</v>
      </c>
      <c r="F16" s="205" t="s">
        <v>575</v>
      </c>
      <c r="G16" s="205" t="s">
        <v>576</v>
      </c>
      <c r="H16" s="206" t="s">
        <v>577</v>
      </c>
      <c r="J16" s="28"/>
    </row>
    <row r="17" ht="20.1" customHeight="1" spans="2:8">
      <c r="B17" s="34">
        <v>1.00999999046326</v>
      </c>
      <c r="C17" s="36" t="s">
        <v>24</v>
      </c>
      <c r="D17" s="34" t="s">
        <v>253</v>
      </c>
      <c r="E17" s="34" t="s">
        <v>254</v>
      </c>
      <c r="F17" s="34">
        <v>23</v>
      </c>
      <c r="G17" s="75">
        <f>'Basic Rates'!E29</f>
        <v>2400</v>
      </c>
      <c r="H17" s="38">
        <f>G17*F17</f>
        <v>55200</v>
      </c>
    </row>
    <row r="18" ht="20.1" customHeight="1" spans="2:8">
      <c r="B18" s="34">
        <v>1.01999998092651</v>
      </c>
      <c r="C18" s="36" t="s">
        <v>28</v>
      </c>
      <c r="D18" s="34" t="s">
        <v>433</v>
      </c>
      <c r="E18" s="34" t="s">
        <v>288</v>
      </c>
      <c r="F18" s="34">
        <v>0.42</v>
      </c>
      <c r="G18" s="75">
        <f>'Basic Rates'!E116</f>
        <v>18000</v>
      </c>
      <c r="H18" s="38">
        <f t="shared" ref="H18:H23" si="0">G18*F18</f>
        <v>7560</v>
      </c>
    </row>
    <row r="19" ht="20.1" customHeight="1" spans="2:8">
      <c r="B19" s="34">
        <v>1.02999997138977</v>
      </c>
      <c r="C19" s="36" t="s">
        <v>692</v>
      </c>
      <c r="D19" s="34" t="s">
        <v>339</v>
      </c>
      <c r="E19" s="34" t="s">
        <v>288</v>
      </c>
      <c r="F19" s="34">
        <v>0.82</v>
      </c>
      <c r="G19" s="75">
        <f>'Basic Rates'!E69</f>
        <v>15000</v>
      </c>
      <c r="H19" s="38">
        <f t="shared" si="0"/>
        <v>12300</v>
      </c>
    </row>
    <row r="20" ht="20.1" customHeight="1" spans="2:8">
      <c r="B20" s="34">
        <v>1.03999996185303</v>
      </c>
      <c r="C20" s="36" t="s">
        <v>176</v>
      </c>
      <c r="D20" s="34" t="s">
        <v>177</v>
      </c>
      <c r="E20" s="34" t="s">
        <v>175</v>
      </c>
      <c r="F20" s="34">
        <v>0.333</v>
      </c>
      <c r="G20" s="75">
        <f>'Basic Rates'!O4</f>
        <v>5000</v>
      </c>
      <c r="H20" s="38">
        <f t="shared" si="0"/>
        <v>1665</v>
      </c>
    </row>
    <row r="21" s="4" customFormat="1" ht="20.1" customHeight="1" spans="1:10">
      <c r="A21" s="6"/>
      <c r="B21" s="34">
        <v>1.04999995231628</v>
      </c>
      <c r="C21" s="36" t="s">
        <v>36</v>
      </c>
      <c r="D21" s="34" t="s">
        <v>525</v>
      </c>
      <c r="E21" s="34" t="s">
        <v>173</v>
      </c>
      <c r="F21" s="34">
        <v>150</v>
      </c>
      <c r="G21" s="75">
        <f>'Basic Rates'!E161</f>
        <v>0.3</v>
      </c>
      <c r="H21" s="38">
        <f t="shared" si="0"/>
        <v>45</v>
      </c>
      <c r="J21" s="207"/>
    </row>
    <row r="22" s="4" customFormat="1" ht="20.1" customHeight="1" spans="1:10">
      <c r="A22" s="6"/>
      <c r="B22" s="34">
        <v>1.05999994277954</v>
      </c>
      <c r="C22" s="36" t="s">
        <v>188</v>
      </c>
      <c r="D22" s="34" t="s">
        <v>189</v>
      </c>
      <c r="E22" s="34" t="s">
        <v>175</v>
      </c>
      <c r="F22" s="34">
        <v>0.333</v>
      </c>
      <c r="G22" s="75">
        <f>'Basic Rates'!J6</f>
        <v>3500</v>
      </c>
      <c r="H22" s="38">
        <f t="shared" si="0"/>
        <v>1165.5</v>
      </c>
      <c r="J22" s="207"/>
    </row>
    <row r="23" s="2" customFormat="1" ht="20.1" customHeight="1" spans="1:10">
      <c r="A23" s="6"/>
      <c r="B23" s="34">
        <v>1.07000005245209</v>
      </c>
      <c r="C23" s="36" t="s">
        <v>208</v>
      </c>
      <c r="D23" s="34" t="s">
        <v>209</v>
      </c>
      <c r="E23" s="34" t="s">
        <v>175</v>
      </c>
      <c r="F23" s="34">
        <v>2</v>
      </c>
      <c r="G23" s="75">
        <f>'Basic Rates'!J10</f>
        <v>2300</v>
      </c>
      <c r="H23" s="38">
        <f t="shared" si="0"/>
        <v>4600</v>
      </c>
      <c r="I23" s="57"/>
      <c r="J23" s="208"/>
    </row>
    <row r="24" s="3" customFormat="1" ht="20.1" customHeight="1" spans="1:10">
      <c r="A24" s="6"/>
      <c r="B24" s="61"/>
      <c r="C24" s="61"/>
      <c r="D24" s="39" t="s">
        <v>579</v>
      </c>
      <c r="E24" s="40">
        <f>$F$15</f>
        <v>1</v>
      </c>
      <c r="F24" s="40" t="str">
        <f>$G$15</f>
        <v>Cube</v>
      </c>
      <c r="G24" s="41"/>
      <c r="H24" s="38">
        <f>SUM(H17:H23)</f>
        <v>82535.5</v>
      </c>
      <c r="J24" s="209"/>
    </row>
    <row r="25" ht="20.1" customHeight="1" spans="2:8">
      <c r="B25" s="61"/>
      <c r="C25" s="61"/>
      <c r="D25" s="39" t="s">
        <v>580</v>
      </c>
      <c r="E25" s="40" t="str">
        <f>$G$15</f>
        <v>Cube</v>
      </c>
      <c r="F25" s="40"/>
      <c r="G25" s="41"/>
      <c r="H25" s="38">
        <f>H24/F15</f>
        <v>82535.5</v>
      </c>
    </row>
    <row r="26" ht="20.1" customHeight="1" spans="1:8">
      <c r="A26" s="42"/>
      <c r="B26" s="43"/>
      <c r="C26" s="43"/>
      <c r="D26" s="44" t="s">
        <v>581</v>
      </c>
      <c r="E26" s="45"/>
      <c r="F26" s="45"/>
      <c r="G26" s="46" t="s">
        <v>595</v>
      </c>
      <c r="H26" s="47">
        <f>ROUND(H25,-1)</f>
        <v>82540</v>
      </c>
    </row>
    <row r="27" ht="20.1" customHeight="1" spans="1:8">
      <c r="A27" s="62"/>
      <c r="B27" s="63"/>
      <c r="C27" s="63"/>
      <c r="D27" s="44" t="s">
        <v>581</v>
      </c>
      <c r="E27" s="45"/>
      <c r="F27" s="45"/>
      <c r="G27" s="46" t="s">
        <v>597</v>
      </c>
      <c r="H27" s="47">
        <f>H26/2.83</f>
        <v>29166.0777385159</v>
      </c>
    </row>
    <row r="28" s="1" customFormat="1" ht="20.45" customHeight="1" spans="1:10">
      <c r="A28" s="62"/>
      <c r="B28" s="63"/>
      <c r="C28" s="63"/>
      <c r="D28" s="64"/>
      <c r="E28" s="65"/>
      <c r="F28" s="65"/>
      <c r="G28" s="66"/>
      <c r="H28" s="67"/>
      <c r="J28" s="28"/>
    </row>
    <row r="29" ht="20.45" customHeight="1" spans="1:8">
      <c r="A29" s="29" t="s">
        <v>693</v>
      </c>
      <c r="B29" s="29"/>
      <c r="C29" s="30" t="s">
        <v>694</v>
      </c>
      <c r="D29" s="30"/>
      <c r="E29" s="30"/>
      <c r="F29" s="30"/>
      <c r="G29" s="30"/>
      <c r="H29" s="30"/>
    </row>
    <row r="30" ht="18" customHeight="1" spans="1:8">
      <c r="A30" s="3"/>
      <c r="B30" s="3"/>
      <c r="C30" s="3"/>
      <c r="D30" s="31"/>
      <c r="E30" s="32" t="s">
        <v>570</v>
      </c>
      <c r="F30" s="31">
        <v>1</v>
      </c>
      <c r="G30" s="32" t="s">
        <v>288</v>
      </c>
      <c r="H30" s="204"/>
    </row>
    <row r="31" ht="20.45" customHeight="1" spans="2:8">
      <c r="B31" s="34" t="s">
        <v>194</v>
      </c>
      <c r="C31" s="34" t="s">
        <v>573</v>
      </c>
      <c r="D31" s="34" t="s">
        <v>574</v>
      </c>
      <c r="E31" s="34" t="s">
        <v>6</v>
      </c>
      <c r="F31" s="34" t="s">
        <v>575</v>
      </c>
      <c r="G31" s="34" t="s">
        <v>576</v>
      </c>
      <c r="H31" s="35" t="s">
        <v>577</v>
      </c>
    </row>
    <row r="32" ht="20.1" customHeight="1" spans="2:8">
      <c r="B32" s="34">
        <v>1.00999999046326</v>
      </c>
      <c r="C32" s="36" t="s">
        <v>24</v>
      </c>
      <c r="D32" s="34" t="s">
        <v>253</v>
      </c>
      <c r="E32" s="34" t="s">
        <v>254</v>
      </c>
      <c r="F32" s="34">
        <v>13</v>
      </c>
      <c r="G32" s="75">
        <f>'Basic Rates'!E29</f>
        <v>2400</v>
      </c>
      <c r="H32" s="38">
        <f>G32*F32</f>
        <v>31200</v>
      </c>
    </row>
    <row r="33" s="4" customFormat="1" ht="20.1" customHeight="1" spans="1:10">
      <c r="A33" s="6"/>
      <c r="B33" s="34">
        <v>1.01999998092651</v>
      </c>
      <c r="C33" s="36" t="s">
        <v>28</v>
      </c>
      <c r="D33" s="34" t="s">
        <v>433</v>
      </c>
      <c r="E33" s="34" t="s">
        <v>288</v>
      </c>
      <c r="F33" s="34">
        <v>0.53</v>
      </c>
      <c r="G33" s="75">
        <f>'Basic Rates'!E116</f>
        <v>18000</v>
      </c>
      <c r="H33" s="38">
        <f t="shared" ref="H33:H38" si="1">G33*F33</f>
        <v>9540</v>
      </c>
      <c r="J33" s="207"/>
    </row>
    <row r="34" s="4" customFormat="1" ht="20.1" customHeight="1" spans="1:10">
      <c r="A34" s="6"/>
      <c r="B34" s="34">
        <v>1.02999997138977</v>
      </c>
      <c r="C34" s="36" t="s">
        <v>695</v>
      </c>
      <c r="D34" s="34" t="s">
        <v>337</v>
      </c>
      <c r="E34" s="34" t="s">
        <v>288</v>
      </c>
      <c r="F34" s="34">
        <v>0.92</v>
      </c>
      <c r="G34" s="75">
        <f>'Basic Rates'!E68</f>
        <v>9000</v>
      </c>
      <c r="H34" s="38">
        <f t="shared" si="1"/>
        <v>8280</v>
      </c>
      <c r="J34" s="207"/>
    </row>
    <row r="35" s="2" customFormat="1" ht="20.1" customHeight="1" spans="1:10">
      <c r="A35" s="6"/>
      <c r="B35" s="34">
        <v>1.03999996185303</v>
      </c>
      <c r="C35" s="36" t="s">
        <v>176</v>
      </c>
      <c r="D35" s="34" t="s">
        <v>177</v>
      </c>
      <c r="E35" s="34" t="s">
        <v>175</v>
      </c>
      <c r="F35" s="34">
        <v>0.333</v>
      </c>
      <c r="G35" s="75">
        <f>'Basic Rates'!O4</f>
        <v>5000</v>
      </c>
      <c r="H35" s="38">
        <f t="shared" si="1"/>
        <v>1665</v>
      </c>
      <c r="I35" s="57"/>
      <c r="J35" s="208"/>
    </row>
    <row r="36" s="3" customFormat="1" ht="20.1" customHeight="1" spans="1:10">
      <c r="A36" s="6"/>
      <c r="B36" s="34">
        <v>1.04999995231628</v>
      </c>
      <c r="C36" s="36" t="s">
        <v>36</v>
      </c>
      <c r="D36" s="34" t="s">
        <v>525</v>
      </c>
      <c r="E36" s="34" t="s">
        <v>173</v>
      </c>
      <c r="F36" s="34">
        <v>110</v>
      </c>
      <c r="G36" s="75">
        <f>'Basic Rates'!E161</f>
        <v>0.3</v>
      </c>
      <c r="H36" s="38">
        <f t="shared" si="1"/>
        <v>33</v>
      </c>
      <c r="J36" s="209"/>
    </row>
    <row r="37" ht="20.1" customHeight="1" spans="2:8">
      <c r="B37" s="34">
        <v>1.05999994277954</v>
      </c>
      <c r="C37" s="36" t="s">
        <v>188</v>
      </c>
      <c r="D37" s="34" t="s">
        <v>189</v>
      </c>
      <c r="E37" s="34" t="s">
        <v>175</v>
      </c>
      <c r="F37" s="34">
        <v>0.333</v>
      </c>
      <c r="G37" s="75">
        <f>'Basic Rates'!J6</f>
        <v>3500</v>
      </c>
      <c r="H37" s="38">
        <f t="shared" si="1"/>
        <v>1165.5</v>
      </c>
    </row>
    <row r="38" ht="20.1" customHeight="1" spans="2:8">
      <c r="B38" s="34">
        <v>1.07000005245209</v>
      </c>
      <c r="C38" s="36" t="s">
        <v>208</v>
      </c>
      <c r="D38" s="34" t="s">
        <v>209</v>
      </c>
      <c r="E38" s="34" t="s">
        <v>175</v>
      </c>
      <c r="F38" s="34">
        <v>2</v>
      </c>
      <c r="G38" s="75">
        <f>'Basic Rates'!J10</f>
        <v>2300</v>
      </c>
      <c r="H38" s="38">
        <f t="shared" si="1"/>
        <v>4600</v>
      </c>
    </row>
    <row r="39" ht="20.45" customHeight="1" spans="2:8">
      <c r="B39" s="61"/>
      <c r="C39" s="61"/>
      <c r="D39" s="39" t="s">
        <v>579</v>
      </c>
      <c r="E39" s="40">
        <f>$F$30</f>
        <v>1</v>
      </c>
      <c r="F39" s="40" t="str">
        <f>$G$30</f>
        <v>Cube</v>
      </c>
      <c r="G39" s="41"/>
      <c r="H39" s="38">
        <f>SUM(H32:H38)</f>
        <v>56483.5</v>
      </c>
    </row>
    <row r="40" ht="20.45" customHeight="1" spans="2:8">
      <c r="B40" s="61"/>
      <c r="C40" s="61"/>
      <c r="D40" s="39" t="s">
        <v>580</v>
      </c>
      <c r="E40" s="40" t="str">
        <f>$G$30</f>
        <v>Cube</v>
      </c>
      <c r="F40" s="40"/>
      <c r="G40" s="41"/>
      <c r="H40" s="38">
        <f>H39/F30</f>
        <v>56483.5</v>
      </c>
    </row>
    <row r="41" ht="20.45" customHeight="1" spans="1:8">
      <c r="A41" s="42"/>
      <c r="B41" s="43"/>
      <c r="C41" s="43"/>
      <c r="D41" s="44" t="s">
        <v>581</v>
      </c>
      <c r="E41" s="45"/>
      <c r="F41" s="45"/>
      <c r="G41" s="46" t="s">
        <v>595</v>
      </c>
      <c r="H41" s="47">
        <f>ROUND(H40,-1)</f>
        <v>56480</v>
      </c>
    </row>
    <row r="42" ht="20.45" customHeight="1" spans="1:8">
      <c r="A42" s="42"/>
      <c r="B42" s="42"/>
      <c r="C42" s="42"/>
      <c r="D42" s="44" t="s">
        <v>581</v>
      </c>
      <c r="E42" s="45"/>
      <c r="F42" s="45"/>
      <c r="G42" s="46" t="s">
        <v>597</v>
      </c>
      <c r="H42" s="47">
        <f>H41/2.83</f>
        <v>19957.5971731449</v>
      </c>
    </row>
    <row r="43" s="1" customFormat="1" ht="20.45" customHeight="1" spans="1:10">
      <c r="A43" s="62"/>
      <c r="B43" s="63"/>
      <c r="C43" s="63"/>
      <c r="D43" s="64"/>
      <c r="E43" s="65"/>
      <c r="F43" s="65"/>
      <c r="G43" s="66"/>
      <c r="H43" s="67"/>
      <c r="J43" s="28"/>
    </row>
    <row r="44" ht="20.45" customHeight="1" spans="1:8">
      <c r="A44" s="29" t="s">
        <v>696</v>
      </c>
      <c r="B44" s="29"/>
      <c r="C44" s="30" t="s">
        <v>697</v>
      </c>
      <c r="D44" s="30"/>
      <c r="E44" s="30"/>
      <c r="F44" s="30"/>
      <c r="G44" s="30"/>
      <c r="H44" s="30"/>
    </row>
    <row r="45" ht="18" customHeight="1" spans="1:8">
      <c r="A45" s="3"/>
      <c r="B45" s="3"/>
      <c r="C45" s="3"/>
      <c r="D45" s="31"/>
      <c r="E45" s="32" t="s">
        <v>570</v>
      </c>
      <c r="F45" s="31">
        <v>1</v>
      </c>
      <c r="G45" s="32" t="s">
        <v>288</v>
      </c>
      <c r="H45" s="204"/>
    </row>
    <row r="46" ht="20.45" customHeight="1" spans="2:8">
      <c r="B46" s="34" t="s">
        <v>194</v>
      </c>
      <c r="C46" s="34" t="s">
        <v>573</v>
      </c>
      <c r="D46" s="34" t="s">
        <v>574</v>
      </c>
      <c r="E46" s="34" t="s">
        <v>6</v>
      </c>
      <c r="F46" s="34" t="s">
        <v>575</v>
      </c>
      <c r="G46" s="34" t="s">
        <v>576</v>
      </c>
      <c r="H46" s="35" t="s">
        <v>577</v>
      </c>
    </row>
    <row r="47" ht="20.1" customHeight="1" spans="2:8">
      <c r="B47" s="34">
        <v>1.00999999046326</v>
      </c>
      <c r="C47" s="36" t="s">
        <v>24</v>
      </c>
      <c r="D47" s="34" t="s">
        <v>253</v>
      </c>
      <c r="E47" s="34" t="s">
        <v>254</v>
      </c>
      <c r="F47" s="34">
        <v>14</v>
      </c>
      <c r="G47" s="75">
        <f>'Basic Rates'!E29</f>
        <v>2400</v>
      </c>
      <c r="H47" s="38">
        <f>G47*F47</f>
        <v>33600</v>
      </c>
    </row>
    <row r="48" s="4" customFormat="1" ht="20.1" customHeight="1" spans="1:10">
      <c r="A48" s="6"/>
      <c r="B48" s="34">
        <v>1.01999998092651</v>
      </c>
      <c r="C48" s="36" t="s">
        <v>28</v>
      </c>
      <c r="D48" s="34" t="s">
        <v>433</v>
      </c>
      <c r="E48" s="34" t="s">
        <v>288</v>
      </c>
      <c r="F48" s="34">
        <v>0.6</v>
      </c>
      <c r="G48" s="75">
        <f>'Basic Rates'!E116</f>
        <v>18000</v>
      </c>
      <c r="H48" s="38">
        <f t="shared" ref="H48:H53" si="2">G48*F48</f>
        <v>10800</v>
      </c>
      <c r="J48" s="207"/>
    </row>
    <row r="49" s="4" customFormat="1" ht="20.1" customHeight="1" spans="1:10">
      <c r="A49" s="6"/>
      <c r="B49" s="34">
        <v>1.02999997138977</v>
      </c>
      <c r="C49" s="36" t="s">
        <v>698</v>
      </c>
      <c r="D49" s="34" t="s">
        <v>335</v>
      </c>
      <c r="E49" s="34" t="s">
        <v>288</v>
      </c>
      <c r="F49" s="34">
        <v>0.9</v>
      </c>
      <c r="G49" s="75">
        <f>'Basic Rates'!E67</f>
        <v>12000</v>
      </c>
      <c r="H49" s="38">
        <f t="shared" si="2"/>
        <v>10800</v>
      </c>
      <c r="J49" s="207"/>
    </row>
    <row r="50" s="2" customFormat="1" ht="20.1" customHeight="1" spans="1:10">
      <c r="A50" s="6"/>
      <c r="B50" s="34">
        <v>1.03999996185303</v>
      </c>
      <c r="C50" s="36" t="s">
        <v>176</v>
      </c>
      <c r="D50" s="34" t="s">
        <v>177</v>
      </c>
      <c r="E50" s="34" t="s">
        <v>175</v>
      </c>
      <c r="F50" s="34">
        <v>0.333</v>
      </c>
      <c r="G50" s="75">
        <f>'Basic Rates'!O4</f>
        <v>5000</v>
      </c>
      <c r="H50" s="38">
        <f t="shared" si="2"/>
        <v>1665</v>
      </c>
      <c r="I50" s="57"/>
      <c r="J50" s="208"/>
    </row>
    <row r="51" s="3" customFormat="1" ht="20.1" customHeight="1" spans="1:10">
      <c r="A51" s="6"/>
      <c r="B51" s="34">
        <v>1.04999995231628</v>
      </c>
      <c r="C51" s="36" t="s">
        <v>36</v>
      </c>
      <c r="D51" s="34" t="s">
        <v>525</v>
      </c>
      <c r="E51" s="34" t="s">
        <v>173</v>
      </c>
      <c r="F51" s="34">
        <v>100</v>
      </c>
      <c r="G51" s="75">
        <f>'Basic Rates'!E161</f>
        <v>0.3</v>
      </c>
      <c r="H51" s="38">
        <f t="shared" si="2"/>
        <v>30</v>
      </c>
      <c r="J51" s="209"/>
    </row>
    <row r="52" ht="20.1" customHeight="1" spans="2:8">
      <c r="B52" s="34">
        <v>1.05999994277954</v>
      </c>
      <c r="C52" s="36" t="s">
        <v>188</v>
      </c>
      <c r="D52" s="34" t="s">
        <v>189</v>
      </c>
      <c r="E52" s="34" t="s">
        <v>175</v>
      </c>
      <c r="F52" s="34">
        <v>0.333</v>
      </c>
      <c r="G52" s="75">
        <f>'Basic Rates'!J6</f>
        <v>3500</v>
      </c>
      <c r="H52" s="38">
        <f t="shared" si="2"/>
        <v>1165.5</v>
      </c>
    </row>
    <row r="53" ht="20.1" customHeight="1" spans="2:8">
      <c r="B53" s="34">
        <v>1.07000005245209</v>
      </c>
      <c r="C53" s="36" t="s">
        <v>208</v>
      </c>
      <c r="D53" s="34" t="s">
        <v>209</v>
      </c>
      <c r="E53" s="34" t="s">
        <v>175</v>
      </c>
      <c r="F53" s="34">
        <v>2</v>
      </c>
      <c r="G53" s="75">
        <f>'Basic Rates'!J10</f>
        <v>2300</v>
      </c>
      <c r="H53" s="38">
        <f t="shared" si="2"/>
        <v>4600</v>
      </c>
    </row>
    <row r="54" ht="20.1" customHeight="1" spans="2:8">
      <c r="B54" s="61"/>
      <c r="C54" s="61"/>
      <c r="D54" s="39" t="s">
        <v>579</v>
      </c>
      <c r="E54" s="40">
        <f>$F$45</f>
        <v>1</v>
      </c>
      <c r="F54" s="40" t="str">
        <f>$G$45</f>
        <v>Cube</v>
      </c>
      <c r="G54" s="41"/>
      <c r="H54" s="38">
        <f>SUM(H47:H53)</f>
        <v>62660.5</v>
      </c>
    </row>
    <row r="55" ht="20.1" customHeight="1" spans="2:8">
      <c r="B55" s="61"/>
      <c r="C55" s="61"/>
      <c r="D55" s="39" t="s">
        <v>580</v>
      </c>
      <c r="E55" s="40" t="str">
        <f>$G$45</f>
        <v>Cube</v>
      </c>
      <c r="F55" s="40"/>
      <c r="G55" s="41"/>
      <c r="H55" s="38">
        <f>H54/F45</f>
        <v>62660.5</v>
      </c>
    </row>
    <row r="56" ht="20.1" customHeight="1" spans="1:8">
      <c r="A56" s="42"/>
      <c r="B56" s="43"/>
      <c r="C56" s="43"/>
      <c r="D56" s="44" t="s">
        <v>581</v>
      </c>
      <c r="E56" s="45"/>
      <c r="F56" s="45"/>
      <c r="G56" s="46" t="s">
        <v>595</v>
      </c>
      <c r="H56" s="47">
        <f>ROUND(H55,-1)</f>
        <v>62660</v>
      </c>
    </row>
    <row r="57" ht="20.1" customHeight="1" spans="1:8">
      <c r="A57" s="42"/>
      <c r="B57" s="42"/>
      <c r="C57" s="42"/>
      <c r="D57" s="44" t="s">
        <v>581</v>
      </c>
      <c r="E57" s="45"/>
      <c r="F57" s="45"/>
      <c r="G57" s="46" t="s">
        <v>597</v>
      </c>
      <c r="H57" s="47">
        <f>H56/2.83</f>
        <v>22141.3427561837</v>
      </c>
    </row>
    <row r="58" s="1" customFormat="1" ht="20.45" customHeight="1" spans="1:10">
      <c r="A58" s="62"/>
      <c r="B58" s="63"/>
      <c r="C58" s="63"/>
      <c r="D58" s="64"/>
      <c r="E58" s="65"/>
      <c r="F58" s="65"/>
      <c r="G58" s="66"/>
      <c r="H58" s="67"/>
      <c r="J58" s="28"/>
    </row>
    <row r="59" ht="20.45" customHeight="1" spans="1:8">
      <c r="A59" s="29" t="s">
        <v>699</v>
      </c>
      <c r="B59" s="29"/>
      <c r="C59" s="30" t="s">
        <v>700</v>
      </c>
      <c r="D59" s="30"/>
      <c r="E59" s="30"/>
      <c r="F59" s="30"/>
      <c r="G59" s="30"/>
      <c r="H59" s="30"/>
    </row>
    <row r="60" ht="18" customHeight="1" spans="1:8">
      <c r="A60" s="3"/>
      <c r="B60" s="3"/>
      <c r="C60" s="3"/>
      <c r="D60" s="31"/>
      <c r="E60" s="32" t="s">
        <v>570</v>
      </c>
      <c r="F60" s="31">
        <v>1</v>
      </c>
      <c r="G60" s="32" t="s">
        <v>288</v>
      </c>
      <c r="H60" s="204"/>
    </row>
    <row r="61" ht="20.45" customHeight="1" spans="2:8">
      <c r="B61" s="34" t="s">
        <v>194</v>
      </c>
      <c r="C61" s="34" t="s">
        <v>573</v>
      </c>
      <c r="D61" s="34" t="s">
        <v>574</v>
      </c>
      <c r="E61" s="34" t="s">
        <v>6</v>
      </c>
      <c r="F61" s="34" t="s">
        <v>575</v>
      </c>
      <c r="G61" s="34" t="s">
        <v>576</v>
      </c>
      <c r="H61" s="35" t="s">
        <v>577</v>
      </c>
    </row>
    <row r="62" ht="20.1" customHeight="1" spans="2:8">
      <c r="B62" s="34">
        <v>1.00999999046326</v>
      </c>
      <c r="C62" s="36" t="s">
        <v>24</v>
      </c>
      <c r="D62" s="34" t="s">
        <v>253</v>
      </c>
      <c r="E62" s="34" t="s">
        <v>254</v>
      </c>
      <c r="F62" s="34">
        <v>18</v>
      </c>
      <c r="G62" s="75">
        <v>2200</v>
      </c>
      <c r="H62" s="38">
        <f>G62*F62</f>
        <v>39600</v>
      </c>
    </row>
    <row r="63" s="4" customFormat="1" ht="20.1" customHeight="1" spans="1:11">
      <c r="A63" s="6"/>
      <c r="B63" s="34">
        <v>1.01999998092651</v>
      </c>
      <c r="C63" s="36" t="s">
        <v>28</v>
      </c>
      <c r="D63" s="34" t="s">
        <v>433</v>
      </c>
      <c r="E63" s="34" t="s">
        <v>288</v>
      </c>
      <c r="F63" s="34">
        <v>0.5</v>
      </c>
      <c r="G63" s="75">
        <v>23000</v>
      </c>
      <c r="H63" s="38">
        <f t="shared" ref="H63:H68" si="3">G63*F63</f>
        <v>11500</v>
      </c>
      <c r="J63" s="207"/>
      <c r="K63" s="4">
        <f>80/3</f>
        <v>26.6666666666667</v>
      </c>
    </row>
    <row r="64" s="4" customFormat="1" ht="20.1" customHeight="1" spans="1:10">
      <c r="A64" s="6"/>
      <c r="B64" s="34">
        <v>1.02999997138977</v>
      </c>
      <c r="C64" s="36" t="s">
        <v>692</v>
      </c>
      <c r="D64" s="34" t="s">
        <v>339</v>
      </c>
      <c r="E64" s="34" t="s">
        <v>288</v>
      </c>
      <c r="F64" s="34">
        <v>0.88</v>
      </c>
      <c r="G64" s="75">
        <v>12000</v>
      </c>
      <c r="H64" s="38">
        <f t="shared" si="3"/>
        <v>10560</v>
      </c>
      <c r="J64" s="207"/>
    </row>
    <row r="65" s="2" customFormat="1" ht="20.1" customHeight="1" spans="1:10">
      <c r="A65" s="6"/>
      <c r="B65" s="34">
        <v>1.03999996185303</v>
      </c>
      <c r="C65" s="36" t="s">
        <v>176</v>
      </c>
      <c r="D65" s="34" t="s">
        <v>177</v>
      </c>
      <c r="E65" s="34" t="s">
        <v>175</v>
      </c>
      <c r="F65" s="34">
        <v>0.333</v>
      </c>
      <c r="G65" s="75">
        <f>'Basic Rates'!O4</f>
        <v>5000</v>
      </c>
      <c r="H65" s="38">
        <f t="shared" si="3"/>
        <v>1665</v>
      </c>
      <c r="I65" s="57"/>
      <c r="J65" s="208"/>
    </row>
    <row r="66" s="3" customFormat="1" ht="20.1" customHeight="1" spans="1:10">
      <c r="A66" s="6"/>
      <c r="B66" s="34">
        <v>1.04999995231628</v>
      </c>
      <c r="C66" s="36" t="s">
        <v>36</v>
      </c>
      <c r="D66" s="34" t="s">
        <v>525</v>
      </c>
      <c r="E66" s="34" t="s">
        <v>173</v>
      </c>
      <c r="F66" s="34">
        <v>120</v>
      </c>
      <c r="G66" s="75">
        <f>'Basic Rates'!E161</f>
        <v>0.3</v>
      </c>
      <c r="H66" s="38">
        <f t="shared" si="3"/>
        <v>36</v>
      </c>
      <c r="J66" s="209"/>
    </row>
    <row r="67" ht="20.1" customHeight="1" spans="2:8">
      <c r="B67" s="34">
        <v>1.05999994277954</v>
      </c>
      <c r="C67" s="36" t="s">
        <v>188</v>
      </c>
      <c r="D67" s="34" t="s">
        <v>189</v>
      </c>
      <c r="E67" s="34" t="s">
        <v>175</v>
      </c>
      <c r="F67" s="210">
        <v>0.333</v>
      </c>
      <c r="G67" s="75">
        <v>3500</v>
      </c>
      <c r="H67" s="38">
        <f t="shared" si="3"/>
        <v>1165.5</v>
      </c>
    </row>
    <row r="68" ht="20.1" customHeight="1" spans="2:8">
      <c r="B68" s="34">
        <v>1.07000005245209</v>
      </c>
      <c r="C68" s="36" t="s">
        <v>208</v>
      </c>
      <c r="D68" s="34" t="s">
        <v>209</v>
      </c>
      <c r="E68" s="34" t="s">
        <v>175</v>
      </c>
      <c r="F68" s="34">
        <v>2</v>
      </c>
      <c r="G68" s="75">
        <v>2500</v>
      </c>
      <c r="H68" s="38">
        <f t="shared" si="3"/>
        <v>5000</v>
      </c>
    </row>
    <row r="69" ht="20.1" customHeight="1" spans="2:8">
      <c r="B69" s="61"/>
      <c r="C69" s="61"/>
      <c r="D69" s="39" t="s">
        <v>579</v>
      </c>
      <c r="E69" s="40">
        <f>$F$60</f>
        <v>1</v>
      </c>
      <c r="F69" s="40" t="str">
        <f>$G$60</f>
        <v>Cube</v>
      </c>
      <c r="G69" s="41"/>
      <c r="H69" s="38">
        <f>SUM(H62:H68)</f>
        <v>69526.5</v>
      </c>
    </row>
    <row r="70" ht="20.1" customHeight="1" spans="2:8">
      <c r="B70" s="61"/>
      <c r="C70" s="61"/>
      <c r="D70" s="39" t="s">
        <v>580</v>
      </c>
      <c r="E70" s="40" t="str">
        <f>$G$60</f>
        <v>Cube</v>
      </c>
      <c r="F70" s="40"/>
      <c r="G70" s="41"/>
      <c r="H70" s="38">
        <f>H69/F60</f>
        <v>69526.5</v>
      </c>
    </row>
    <row r="71" ht="20.1" customHeight="1" spans="1:8">
      <c r="A71" s="42"/>
      <c r="B71" s="43"/>
      <c r="C71" s="43"/>
      <c r="D71" s="44" t="s">
        <v>581</v>
      </c>
      <c r="E71" s="45"/>
      <c r="F71" s="45"/>
      <c r="G71" s="46" t="s">
        <v>595</v>
      </c>
      <c r="H71" s="47">
        <f>ROUND(H70,-1)</f>
        <v>69530</v>
      </c>
    </row>
    <row r="72" ht="20.1" customHeight="1" spans="1:10">
      <c r="A72" s="42"/>
      <c r="B72" s="42"/>
      <c r="C72" s="42"/>
      <c r="D72" s="44" t="s">
        <v>581</v>
      </c>
      <c r="E72" s="45"/>
      <c r="F72" s="45"/>
      <c r="G72" s="46" t="s">
        <v>597</v>
      </c>
      <c r="H72" s="47">
        <f>H71/2.83</f>
        <v>24568.9045936396</v>
      </c>
      <c r="J72" s="197">
        <f>H72*1.3</f>
        <v>31939.5759717314</v>
      </c>
    </row>
    <row r="73" s="1" customFormat="1" ht="20.45" customHeight="1" spans="1:10">
      <c r="A73" s="62"/>
      <c r="B73" s="63"/>
      <c r="C73" s="63"/>
      <c r="D73" s="64"/>
      <c r="E73" s="65"/>
      <c r="F73" s="65"/>
      <c r="G73" s="66"/>
      <c r="H73" s="67"/>
      <c r="J73" s="28"/>
    </row>
    <row r="74" ht="20.45" customHeight="1" spans="1:8">
      <c r="A74" s="29" t="s">
        <v>701</v>
      </c>
      <c r="B74" s="29"/>
      <c r="C74" s="30" t="s">
        <v>702</v>
      </c>
      <c r="D74" s="30"/>
      <c r="E74" s="30"/>
      <c r="F74" s="30"/>
      <c r="G74" s="30"/>
      <c r="H74" s="30"/>
    </row>
    <row r="75" ht="18" customHeight="1" spans="1:8">
      <c r="A75" s="3"/>
      <c r="B75" s="3"/>
      <c r="C75" s="3"/>
      <c r="D75" s="31"/>
      <c r="E75" s="32" t="s">
        <v>570</v>
      </c>
      <c r="F75" s="31">
        <v>1</v>
      </c>
      <c r="G75" s="32" t="s">
        <v>288</v>
      </c>
      <c r="H75" s="204"/>
    </row>
    <row r="76" s="3" customFormat="1" ht="18" customHeight="1" spans="1:10">
      <c r="A76" s="6"/>
      <c r="B76" s="34" t="s">
        <v>194</v>
      </c>
      <c r="C76" s="34" t="s">
        <v>573</v>
      </c>
      <c r="D76" s="34" t="s">
        <v>574</v>
      </c>
      <c r="E76" s="34" t="s">
        <v>6</v>
      </c>
      <c r="F76" s="34" t="s">
        <v>575</v>
      </c>
      <c r="G76" s="34" t="s">
        <v>576</v>
      </c>
      <c r="H76" s="35" t="s">
        <v>577</v>
      </c>
      <c r="J76" s="209"/>
    </row>
    <row r="77" ht="20.1" customHeight="1" spans="2:8">
      <c r="B77" s="34">
        <v>1.00999999046326</v>
      </c>
      <c r="C77" s="36" t="s">
        <v>24</v>
      </c>
      <c r="D77" s="34" t="s">
        <v>253</v>
      </c>
      <c r="E77" s="34" t="s">
        <v>254</v>
      </c>
      <c r="F77" s="34">
        <v>31</v>
      </c>
      <c r="G77" s="75">
        <f>'Basic Rates'!E29</f>
        <v>2400</v>
      </c>
      <c r="H77" s="38">
        <f>G77*F77</f>
        <v>74400</v>
      </c>
    </row>
    <row r="78" ht="20.1" customHeight="1" spans="2:8">
      <c r="B78" s="34">
        <v>1.01999998092651</v>
      </c>
      <c r="C78" s="36" t="s">
        <v>28</v>
      </c>
      <c r="D78" s="34" t="s">
        <v>433</v>
      </c>
      <c r="E78" s="34" t="s">
        <v>288</v>
      </c>
      <c r="F78" s="34">
        <v>0.44</v>
      </c>
      <c r="G78" s="75">
        <f>'Basic Rates'!E116</f>
        <v>18000</v>
      </c>
      <c r="H78" s="38">
        <f t="shared" ref="H78:H83" si="4">G78*F78</f>
        <v>7920</v>
      </c>
    </row>
    <row r="79" ht="20.1" customHeight="1" spans="2:8">
      <c r="B79" s="34">
        <v>1.02999997138977</v>
      </c>
      <c r="C79" s="36" t="s">
        <v>692</v>
      </c>
      <c r="D79" s="34" t="s">
        <v>339</v>
      </c>
      <c r="E79" s="34" t="s">
        <v>288</v>
      </c>
      <c r="F79" s="34">
        <v>0.96</v>
      </c>
      <c r="G79" s="75">
        <f>'Basic Rates'!E69</f>
        <v>15000</v>
      </c>
      <c r="H79" s="38">
        <f t="shared" si="4"/>
        <v>14400</v>
      </c>
    </row>
    <row r="80" ht="20.1" customHeight="1" spans="2:8">
      <c r="B80" s="34">
        <v>1.03999996185303</v>
      </c>
      <c r="C80" s="36" t="s">
        <v>176</v>
      </c>
      <c r="D80" s="34" t="s">
        <v>177</v>
      </c>
      <c r="E80" s="34" t="s">
        <v>175</v>
      </c>
      <c r="F80" s="34">
        <v>0.333</v>
      </c>
      <c r="G80" s="75">
        <f>'Basic Rates'!O4</f>
        <v>5000</v>
      </c>
      <c r="H80" s="38">
        <f t="shared" si="4"/>
        <v>1665</v>
      </c>
    </row>
    <row r="81" ht="20.1" customHeight="1" spans="2:8">
      <c r="B81" s="34">
        <v>1.04999995231628</v>
      </c>
      <c r="C81" s="36" t="s">
        <v>36</v>
      </c>
      <c r="D81" s="34" t="s">
        <v>525</v>
      </c>
      <c r="E81" s="34" t="s">
        <v>173</v>
      </c>
      <c r="F81" s="34">
        <v>200</v>
      </c>
      <c r="G81" s="75">
        <f>'Basic Rates'!E161</f>
        <v>0.3</v>
      </c>
      <c r="H81" s="38">
        <f t="shared" si="4"/>
        <v>60</v>
      </c>
    </row>
    <row r="82" ht="20.1" customHeight="1" spans="2:8">
      <c r="B82" s="34">
        <v>1.05999994277954</v>
      </c>
      <c r="C82" s="36" t="s">
        <v>188</v>
      </c>
      <c r="D82" s="34" t="s">
        <v>189</v>
      </c>
      <c r="E82" s="34" t="s">
        <v>175</v>
      </c>
      <c r="F82" s="34">
        <v>0.333</v>
      </c>
      <c r="G82" s="75">
        <f>'Basic Rates'!J6</f>
        <v>3500</v>
      </c>
      <c r="H82" s="38">
        <f t="shared" si="4"/>
        <v>1165.5</v>
      </c>
    </row>
    <row r="83" s="4" customFormat="1" ht="20.1" customHeight="1" spans="1:10">
      <c r="A83" s="6"/>
      <c r="B83" s="34">
        <v>1.07000005245209</v>
      </c>
      <c r="C83" s="36" t="s">
        <v>208</v>
      </c>
      <c r="D83" s="34" t="s">
        <v>209</v>
      </c>
      <c r="E83" s="34" t="s">
        <v>175</v>
      </c>
      <c r="F83" s="34">
        <v>2</v>
      </c>
      <c r="G83" s="75">
        <f>'Basic Rates'!J10</f>
        <v>2300</v>
      </c>
      <c r="H83" s="38">
        <f t="shared" si="4"/>
        <v>4600</v>
      </c>
      <c r="J83" s="207"/>
    </row>
    <row r="84" s="4" customFormat="1" ht="20.1" customHeight="1" spans="1:10">
      <c r="A84" s="6"/>
      <c r="B84" s="61"/>
      <c r="C84" s="61"/>
      <c r="D84" s="39" t="s">
        <v>579</v>
      </c>
      <c r="E84" s="40">
        <f>$F$75</f>
        <v>1</v>
      </c>
      <c r="F84" s="40" t="str">
        <f>$G$75</f>
        <v>Cube</v>
      </c>
      <c r="G84" s="41"/>
      <c r="H84" s="38">
        <f>SUM(H77:H83)</f>
        <v>104210.5</v>
      </c>
      <c r="J84" s="207"/>
    </row>
    <row r="85" s="2" customFormat="1" ht="20.1" customHeight="1" spans="1:10">
      <c r="A85" s="6"/>
      <c r="B85" s="61"/>
      <c r="C85" s="61"/>
      <c r="D85" s="39" t="s">
        <v>580</v>
      </c>
      <c r="E85" s="40" t="str">
        <f>$G$75</f>
        <v>Cube</v>
      </c>
      <c r="F85" s="40"/>
      <c r="G85" s="41"/>
      <c r="H85" s="38">
        <f>H84/F75</f>
        <v>104210.5</v>
      </c>
      <c r="I85" s="57"/>
      <c r="J85" s="208"/>
    </row>
    <row r="86" ht="20.1" customHeight="1" spans="1:8">
      <c r="A86" s="42"/>
      <c r="B86" s="43"/>
      <c r="C86" s="43"/>
      <c r="D86" s="44" t="s">
        <v>581</v>
      </c>
      <c r="E86" s="45"/>
      <c r="F86" s="45"/>
      <c r="G86" s="46" t="s">
        <v>595</v>
      </c>
      <c r="H86" s="47">
        <f>ROUND(H85,-1)</f>
        <v>104210</v>
      </c>
    </row>
    <row r="87" ht="20.1" customHeight="1" spans="1:8">
      <c r="A87" s="42"/>
      <c r="B87" s="42"/>
      <c r="C87" s="42"/>
      <c r="D87" s="44" t="s">
        <v>581</v>
      </c>
      <c r="E87" s="45"/>
      <c r="F87" s="45"/>
      <c r="G87" s="46" t="s">
        <v>597</v>
      </c>
      <c r="H87" s="47">
        <f>H86/2.83</f>
        <v>36823.3215547703</v>
      </c>
    </row>
    <row r="88" s="1" customFormat="1" ht="20.45" customHeight="1" spans="1:10">
      <c r="A88" s="62"/>
      <c r="B88" s="63"/>
      <c r="C88" s="63"/>
      <c r="D88" s="64"/>
      <c r="E88" s="65"/>
      <c r="F88" s="65"/>
      <c r="G88" s="66"/>
      <c r="H88" s="67"/>
      <c r="J88" s="28"/>
    </row>
    <row r="89" s="1" customFormat="1" ht="20.25" customHeight="1" spans="1:12">
      <c r="A89" s="19"/>
      <c r="B89" s="20"/>
      <c r="C89" s="21"/>
      <c r="D89" s="22" t="s">
        <v>703</v>
      </c>
      <c r="E89" s="21"/>
      <c r="F89" s="21"/>
      <c r="G89" s="23"/>
      <c r="H89" s="24"/>
      <c r="I89" s="56"/>
      <c r="J89" s="28"/>
      <c r="K89" s="55"/>
      <c r="L89" s="55"/>
    </row>
    <row r="90" s="1" customFormat="1" ht="9" customHeight="1" spans="2:12">
      <c r="B90" s="25"/>
      <c r="C90" s="26"/>
      <c r="D90" s="26"/>
      <c r="E90" s="26"/>
      <c r="F90" s="26"/>
      <c r="G90" s="27"/>
      <c r="H90" s="28"/>
      <c r="J90" s="28"/>
      <c r="K90" s="55"/>
      <c r="L90" s="55"/>
    </row>
    <row r="91" ht="20.45" customHeight="1" spans="1:12">
      <c r="A91" s="29" t="s">
        <v>704</v>
      </c>
      <c r="B91" s="29"/>
      <c r="C91" s="30" t="s">
        <v>705</v>
      </c>
      <c r="D91" s="30"/>
      <c r="E91" s="30"/>
      <c r="F91" s="30"/>
      <c r="G91" s="30"/>
      <c r="H91" s="30"/>
      <c r="K91" s="211"/>
      <c r="L91" s="211"/>
    </row>
    <row r="92" ht="18" customHeight="1" spans="1:12">
      <c r="A92" s="3"/>
      <c r="B92" s="3"/>
      <c r="C92" s="3"/>
      <c r="D92" s="31"/>
      <c r="E92" s="32" t="s">
        <v>570</v>
      </c>
      <c r="F92" s="31">
        <v>1</v>
      </c>
      <c r="G92" s="32" t="s">
        <v>571</v>
      </c>
      <c r="H92" s="204"/>
      <c r="K92" s="212"/>
      <c r="L92" s="212"/>
    </row>
    <row r="93" s="3" customFormat="1" ht="18" customHeight="1" spans="1:12">
      <c r="A93" s="6"/>
      <c r="B93" s="34" t="s">
        <v>194</v>
      </c>
      <c r="C93" s="34" t="s">
        <v>573</v>
      </c>
      <c r="D93" s="34" t="s">
        <v>574</v>
      </c>
      <c r="E93" s="34" t="s">
        <v>6</v>
      </c>
      <c r="F93" s="34" t="s">
        <v>575</v>
      </c>
      <c r="G93" s="34" t="s">
        <v>576</v>
      </c>
      <c r="H93" s="35" t="s">
        <v>577</v>
      </c>
      <c r="J93" s="209"/>
      <c r="K93" s="55"/>
      <c r="L93" s="213"/>
    </row>
    <row r="94" ht="20.1" customHeight="1" spans="2:12">
      <c r="B94" s="34">
        <v>1.00999999046326</v>
      </c>
      <c r="C94" s="36" t="s">
        <v>694</v>
      </c>
      <c r="D94" s="34" t="s">
        <v>693</v>
      </c>
      <c r="E94" s="34" t="s">
        <v>288</v>
      </c>
      <c r="F94" s="34">
        <v>0.1667</v>
      </c>
      <c r="G94" s="75">
        <f>H41</f>
        <v>56480</v>
      </c>
      <c r="H94" s="38">
        <f>G94*F94</f>
        <v>9415.216</v>
      </c>
      <c r="K94" s="55"/>
      <c r="L94" s="213"/>
    </row>
    <row r="95" ht="20.1" customHeight="1" spans="2:12">
      <c r="B95" s="34">
        <v>1.01999998092651</v>
      </c>
      <c r="C95" s="36" t="s">
        <v>188</v>
      </c>
      <c r="D95" s="34" t="s">
        <v>189</v>
      </c>
      <c r="E95" s="34" t="s">
        <v>175</v>
      </c>
      <c r="F95" s="34">
        <v>0.125</v>
      </c>
      <c r="G95" s="75">
        <f>'Basic Rates'!J6</f>
        <v>3500</v>
      </c>
      <c r="H95" s="38">
        <f>G95*F95</f>
        <v>437.5</v>
      </c>
      <c r="K95" s="55"/>
      <c r="L95" s="213"/>
    </row>
    <row r="96" ht="20.1" customHeight="1" spans="2:12">
      <c r="B96" s="34">
        <v>1.02999997138977</v>
      </c>
      <c r="C96" s="36" t="s">
        <v>208</v>
      </c>
      <c r="D96" s="34" t="s">
        <v>209</v>
      </c>
      <c r="E96" s="34" t="s">
        <v>175</v>
      </c>
      <c r="F96" s="34">
        <v>0.5</v>
      </c>
      <c r="G96" s="75">
        <f>'Basic Rates'!J10</f>
        <v>2300</v>
      </c>
      <c r="H96" s="38">
        <f>G96*F96</f>
        <v>1150</v>
      </c>
      <c r="K96" s="55"/>
      <c r="L96" s="213"/>
    </row>
    <row r="97" ht="20.1" customHeight="1" spans="2:12">
      <c r="B97" s="61"/>
      <c r="C97" s="61"/>
      <c r="D97" s="39" t="s">
        <v>579</v>
      </c>
      <c r="E97" s="40">
        <f>$F$92</f>
        <v>1</v>
      </c>
      <c r="F97" s="40" t="str">
        <f>$G$92</f>
        <v>Sqr</v>
      </c>
      <c r="G97" s="41"/>
      <c r="H97" s="38">
        <f>SUM(H94:H96)</f>
        <v>11002.716</v>
      </c>
      <c r="K97" s="55"/>
      <c r="L97" s="214"/>
    </row>
    <row r="98" ht="20.1" customHeight="1" spans="2:12">
      <c r="B98" s="61"/>
      <c r="C98" s="61"/>
      <c r="D98" s="39" t="s">
        <v>580</v>
      </c>
      <c r="E98" s="40" t="str">
        <f>$G$92</f>
        <v>Sqr</v>
      </c>
      <c r="F98" s="40"/>
      <c r="G98" s="41"/>
      <c r="H98" s="38">
        <f>H97/F92</f>
        <v>11002.716</v>
      </c>
      <c r="K98" s="55"/>
      <c r="L98" s="214"/>
    </row>
    <row r="99" ht="20.1" customHeight="1" spans="1:12">
      <c r="A99" s="42"/>
      <c r="B99" s="43"/>
      <c r="C99" s="43"/>
      <c r="D99" s="44" t="s">
        <v>581</v>
      </c>
      <c r="E99" s="45"/>
      <c r="F99" s="45"/>
      <c r="G99" s="46" t="s">
        <v>654</v>
      </c>
      <c r="H99" s="47">
        <f>ROUND(H98,-1)</f>
        <v>11000</v>
      </c>
      <c r="K99" s="62"/>
      <c r="L99" s="63"/>
    </row>
    <row r="100" ht="20.1" customHeight="1" spans="1:12">
      <c r="A100" s="42"/>
      <c r="B100" s="43"/>
      <c r="C100" s="43"/>
      <c r="D100" s="44" t="s">
        <v>581</v>
      </c>
      <c r="E100" s="45"/>
      <c r="F100" s="45"/>
      <c r="G100" s="46" t="s">
        <v>583</v>
      </c>
      <c r="H100" s="47">
        <f>H99/100</f>
        <v>110</v>
      </c>
      <c r="K100" s="62"/>
      <c r="L100" s="63"/>
    </row>
    <row r="101" s="1" customFormat="1" ht="20.1" customHeight="1" spans="1:12">
      <c r="A101" s="62"/>
      <c r="B101" s="63"/>
      <c r="C101" s="63"/>
      <c r="D101" s="44" t="s">
        <v>581</v>
      </c>
      <c r="E101" s="45"/>
      <c r="F101" s="45"/>
      <c r="G101" s="46" t="s">
        <v>584</v>
      </c>
      <c r="H101" s="47">
        <f>H100*10.76</f>
        <v>1183.6</v>
      </c>
      <c r="J101" s="28"/>
      <c r="K101" s="62"/>
      <c r="L101" s="63"/>
    </row>
    <row r="102" s="1" customFormat="1" ht="20.45" customHeight="1" spans="1:12">
      <c r="A102" s="62"/>
      <c r="B102" s="63"/>
      <c r="C102" s="63"/>
      <c r="D102" s="64"/>
      <c r="E102" s="65"/>
      <c r="F102" s="65"/>
      <c r="G102" s="66"/>
      <c r="H102" s="67"/>
      <c r="J102" s="28"/>
      <c r="K102" s="55"/>
      <c r="L102" s="55"/>
    </row>
    <row r="103" ht="20.45" customHeight="1" spans="1:12">
      <c r="A103" s="29" t="s">
        <v>706</v>
      </c>
      <c r="B103" s="29"/>
      <c r="C103" s="30" t="s">
        <v>707</v>
      </c>
      <c r="D103" s="30"/>
      <c r="E103" s="30"/>
      <c r="F103" s="30"/>
      <c r="G103" s="30"/>
      <c r="H103" s="30"/>
      <c r="K103" s="55"/>
      <c r="L103" s="55"/>
    </row>
    <row r="104" ht="18" customHeight="1" spans="1:12">
      <c r="A104" s="3"/>
      <c r="B104" s="3"/>
      <c r="C104" s="3"/>
      <c r="D104" s="31"/>
      <c r="E104" s="32" t="s">
        <v>570</v>
      </c>
      <c r="F104" s="31">
        <v>1</v>
      </c>
      <c r="G104" s="32" t="s">
        <v>571</v>
      </c>
      <c r="H104" s="204"/>
      <c r="K104" s="55"/>
      <c r="L104" s="55"/>
    </row>
    <row r="105" ht="20.45" customHeight="1" spans="2:8">
      <c r="B105" s="34" t="s">
        <v>194</v>
      </c>
      <c r="C105" s="34" t="s">
        <v>573</v>
      </c>
      <c r="D105" s="34" t="s">
        <v>574</v>
      </c>
      <c r="E105" s="34" t="s">
        <v>6</v>
      </c>
      <c r="F105" s="34" t="s">
        <v>575</v>
      </c>
      <c r="G105" s="34" t="s">
        <v>576</v>
      </c>
      <c r="H105" s="35" t="s">
        <v>577</v>
      </c>
    </row>
    <row r="106" ht="20.1" customHeight="1" spans="2:8">
      <c r="B106" s="34">
        <v>1.00999999046326</v>
      </c>
      <c r="C106" s="36" t="s">
        <v>694</v>
      </c>
      <c r="D106" s="34" t="s">
        <v>693</v>
      </c>
      <c r="E106" s="34" t="s">
        <v>288</v>
      </c>
      <c r="F106" s="34">
        <v>0.25</v>
      </c>
      <c r="G106" s="75">
        <f>H41</f>
        <v>56480</v>
      </c>
      <c r="H106" s="38">
        <f>G106*F106</f>
        <v>14120</v>
      </c>
    </row>
    <row r="107" ht="20.1" customHeight="1" spans="2:8">
      <c r="B107" s="34">
        <v>1.01999998092651</v>
      </c>
      <c r="C107" s="36" t="s">
        <v>188</v>
      </c>
      <c r="D107" s="34" t="s">
        <v>189</v>
      </c>
      <c r="E107" s="34" t="s">
        <v>175</v>
      </c>
      <c r="F107" s="34">
        <v>0.125</v>
      </c>
      <c r="G107" s="75">
        <f>'Basic Rates'!J6</f>
        <v>3500</v>
      </c>
      <c r="H107" s="38">
        <f>G107*F107</f>
        <v>437.5</v>
      </c>
    </row>
    <row r="108" s="4" customFormat="1" ht="20.1" customHeight="1" spans="1:10">
      <c r="A108" s="6"/>
      <c r="B108" s="34">
        <v>1.02999997138977</v>
      </c>
      <c r="C108" s="36" t="s">
        <v>208</v>
      </c>
      <c r="D108" s="34" t="s">
        <v>209</v>
      </c>
      <c r="E108" s="34" t="s">
        <v>175</v>
      </c>
      <c r="F108" s="34">
        <v>0.75</v>
      </c>
      <c r="G108" s="75">
        <f>'Basic Rates'!J10</f>
        <v>2300</v>
      </c>
      <c r="H108" s="38">
        <f>G108*F108</f>
        <v>1725</v>
      </c>
      <c r="J108" s="207"/>
    </row>
    <row r="109" s="4" customFormat="1" ht="20.1" customHeight="1" spans="1:10">
      <c r="A109" s="6"/>
      <c r="B109" s="61"/>
      <c r="C109" s="61"/>
      <c r="D109" s="39" t="s">
        <v>579</v>
      </c>
      <c r="E109" s="40">
        <f>$F$104</f>
        <v>1</v>
      </c>
      <c r="F109" s="40" t="str">
        <f>$G$104</f>
        <v>Sqr</v>
      </c>
      <c r="G109" s="41"/>
      <c r="H109" s="38">
        <f>SUM(H106:H108)</f>
        <v>16282.5</v>
      </c>
      <c r="J109" s="207"/>
    </row>
    <row r="110" s="2" customFormat="1" ht="20.1" customHeight="1" spans="1:10">
      <c r="A110" s="6"/>
      <c r="B110" s="61"/>
      <c r="C110" s="61"/>
      <c r="D110" s="39" t="s">
        <v>580</v>
      </c>
      <c r="E110" s="40" t="str">
        <f>$G$104</f>
        <v>Sqr</v>
      </c>
      <c r="F110" s="40"/>
      <c r="G110" s="41"/>
      <c r="H110" s="38">
        <f>H109/F104</f>
        <v>16282.5</v>
      </c>
      <c r="I110" s="57"/>
      <c r="J110" s="208"/>
    </row>
    <row r="111" ht="20.1" customHeight="1" spans="1:8">
      <c r="A111" s="42"/>
      <c r="B111" s="43"/>
      <c r="C111" s="43"/>
      <c r="D111" s="44" t="s">
        <v>581</v>
      </c>
      <c r="E111" s="45"/>
      <c r="F111" s="45"/>
      <c r="G111" s="46" t="s">
        <v>654</v>
      </c>
      <c r="H111" s="47">
        <f>ROUND(H110,-1)</f>
        <v>16280</v>
      </c>
    </row>
    <row r="112" ht="20.1" customHeight="1" spans="1:8">
      <c r="A112" s="42"/>
      <c r="B112" s="43"/>
      <c r="C112" s="43"/>
      <c r="D112" s="44" t="s">
        <v>581</v>
      </c>
      <c r="E112" s="45"/>
      <c r="F112" s="45"/>
      <c r="G112" s="46" t="s">
        <v>583</v>
      </c>
      <c r="H112" s="47">
        <f>H111/100</f>
        <v>162.8</v>
      </c>
    </row>
    <row r="113" s="1" customFormat="1" ht="20.1" customHeight="1" spans="1:10">
      <c r="A113" s="62"/>
      <c r="B113" s="63"/>
      <c r="C113" s="63"/>
      <c r="D113" s="44" t="s">
        <v>581</v>
      </c>
      <c r="E113" s="45"/>
      <c r="F113" s="45"/>
      <c r="G113" s="46" t="s">
        <v>584</v>
      </c>
      <c r="H113" s="47">
        <f>H112*10.76</f>
        <v>1751.728</v>
      </c>
      <c r="J113" s="28"/>
    </row>
    <row r="114" s="1" customFormat="1" ht="20.45" customHeight="1" spans="1:10">
      <c r="A114" s="62"/>
      <c r="B114" s="63"/>
      <c r="C114" s="63"/>
      <c r="D114" s="64"/>
      <c r="E114" s="65"/>
      <c r="F114" s="65"/>
      <c r="G114" s="66"/>
      <c r="H114" s="67"/>
      <c r="J114" s="28"/>
    </row>
    <row r="115" s="1" customFormat="1" ht="20.25" customHeight="1" spans="1:10">
      <c r="A115" s="19"/>
      <c r="B115" s="20"/>
      <c r="C115" s="21"/>
      <c r="D115" s="22" t="s">
        <v>681</v>
      </c>
      <c r="E115" s="21"/>
      <c r="F115" s="21"/>
      <c r="G115" s="23"/>
      <c r="H115" s="24"/>
      <c r="I115" s="56"/>
      <c r="J115" s="28"/>
    </row>
    <row r="116" s="1" customFormat="1" ht="9" customHeight="1" spans="2:10">
      <c r="B116" s="25"/>
      <c r="C116" s="26"/>
      <c r="D116" s="26"/>
      <c r="E116" s="26"/>
      <c r="F116" s="26"/>
      <c r="G116" s="27"/>
      <c r="H116" s="28"/>
      <c r="J116" s="28"/>
    </row>
    <row r="117" ht="20.45" customHeight="1" spans="1:8">
      <c r="A117" s="29" t="s">
        <v>708</v>
      </c>
      <c r="B117" s="29"/>
      <c r="C117" s="30" t="s">
        <v>709</v>
      </c>
      <c r="D117" s="30"/>
      <c r="E117" s="30"/>
      <c r="F117" s="30"/>
      <c r="G117" s="30"/>
      <c r="H117" s="30"/>
    </row>
    <row r="118" ht="18" customHeight="1" spans="1:8">
      <c r="A118" s="3"/>
      <c r="B118" s="3"/>
      <c r="C118" s="3"/>
      <c r="D118" s="31"/>
      <c r="E118" s="32" t="s">
        <v>570</v>
      </c>
      <c r="F118" s="31">
        <v>1</v>
      </c>
      <c r="G118" s="32" t="s">
        <v>571</v>
      </c>
      <c r="H118" s="204"/>
    </row>
    <row r="119" ht="20.45" customHeight="1" spans="2:8">
      <c r="B119" s="34" t="s">
        <v>194</v>
      </c>
      <c r="C119" s="34" t="s">
        <v>573</v>
      </c>
      <c r="D119" s="34" t="s">
        <v>574</v>
      </c>
      <c r="E119" s="34" t="s">
        <v>6</v>
      </c>
      <c r="F119" s="34" t="s">
        <v>575</v>
      </c>
      <c r="G119" s="34" t="s">
        <v>576</v>
      </c>
      <c r="H119" s="35" t="s">
        <v>577</v>
      </c>
    </row>
    <row r="120" ht="20.45" customHeight="1" spans="2:8">
      <c r="B120" s="34">
        <v>1.00999999046326</v>
      </c>
      <c r="C120" s="36" t="s">
        <v>710</v>
      </c>
      <c r="D120" s="34" t="s">
        <v>696</v>
      </c>
      <c r="E120" s="34" t="s">
        <v>288</v>
      </c>
      <c r="F120" s="34">
        <v>0.5</v>
      </c>
      <c r="G120" s="75">
        <f>H56</f>
        <v>62660</v>
      </c>
      <c r="H120" s="38">
        <f>G120*F120</f>
        <v>31330</v>
      </c>
    </row>
    <row r="121" ht="20.45" customHeight="1" spans="2:8">
      <c r="B121" s="34">
        <v>1.02499997615814</v>
      </c>
      <c r="C121" s="36" t="s">
        <v>36</v>
      </c>
      <c r="D121" s="34" t="s">
        <v>525</v>
      </c>
      <c r="E121" s="34" t="s">
        <v>173</v>
      </c>
      <c r="F121" s="34">
        <v>200</v>
      </c>
      <c r="G121" s="75">
        <f>'Basic Rates'!E161</f>
        <v>0.3</v>
      </c>
      <c r="H121" s="38">
        <f>G121*F121</f>
        <v>60</v>
      </c>
    </row>
    <row r="122" ht="20.45" customHeight="1" spans="2:8">
      <c r="B122" s="34">
        <v>1.02999997138977</v>
      </c>
      <c r="C122" s="36" t="s">
        <v>188</v>
      </c>
      <c r="D122" s="34" t="s">
        <v>189</v>
      </c>
      <c r="E122" s="34" t="s">
        <v>175</v>
      </c>
      <c r="F122" s="34">
        <v>0.5</v>
      </c>
      <c r="G122" s="75">
        <f>'Basic Rates'!J6</f>
        <v>3500</v>
      </c>
      <c r="H122" s="38">
        <f>G122*F122</f>
        <v>1750</v>
      </c>
    </row>
    <row r="123" ht="20.45" customHeight="1" spans="2:8">
      <c r="B123" s="34">
        <v>1.03999996185303</v>
      </c>
      <c r="C123" s="36" t="s">
        <v>208</v>
      </c>
      <c r="D123" s="34" t="s">
        <v>209</v>
      </c>
      <c r="E123" s="34" t="s">
        <v>175</v>
      </c>
      <c r="F123" s="34">
        <v>1.25</v>
      </c>
      <c r="G123" s="75">
        <f>'Basic Rates'!J10</f>
        <v>2300</v>
      </c>
      <c r="H123" s="38">
        <f>G123*F123</f>
        <v>2875</v>
      </c>
    </row>
    <row r="124" ht="20.45" customHeight="1" spans="2:8">
      <c r="B124" s="61"/>
      <c r="C124" s="61"/>
      <c r="D124" s="39" t="s">
        <v>579</v>
      </c>
      <c r="E124" s="40">
        <f>$F$118</f>
        <v>1</v>
      </c>
      <c r="F124" s="40" t="str">
        <f>$G$118</f>
        <v>Sqr</v>
      </c>
      <c r="G124" s="41"/>
      <c r="H124" s="38">
        <f>SUM(H120:H123)</f>
        <v>36015</v>
      </c>
    </row>
    <row r="125" ht="20.45" customHeight="1" spans="2:8">
      <c r="B125" s="61"/>
      <c r="C125" s="61"/>
      <c r="D125" s="39" t="s">
        <v>580</v>
      </c>
      <c r="E125" s="40" t="str">
        <f>$G$118</f>
        <v>Sqr</v>
      </c>
      <c r="F125" s="40"/>
      <c r="G125" s="41"/>
      <c r="H125" s="38">
        <f>H124/F118</f>
        <v>36015</v>
      </c>
    </row>
    <row r="126" ht="20.1" customHeight="1" spans="1:8">
      <c r="A126" s="42"/>
      <c r="B126" s="43"/>
      <c r="C126" s="43"/>
      <c r="D126" s="44" t="s">
        <v>581</v>
      </c>
      <c r="E126" s="45"/>
      <c r="F126" s="45"/>
      <c r="G126" s="46" t="s">
        <v>654</v>
      </c>
      <c r="H126" s="47">
        <f>ROUND(H125,-1)</f>
        <v>36020</v>
      </c>
    </row>
    <row r="127" ht="20.1" customHeight="1" spans="1:8">
      <c r="A127" s="42"/>
      <c r="B127" s="43"/>
      <c r="C127" s="43"/>
      <c r="D127" s="44" t="s">
        <v>581</v>
      </c>
      <c r="E127" s="45"/>
      <c r="F127" s="45"/>
      <c r="G127" s="46" t="s">
        <v>583</v>
      </c>
      <c r="H127" s="47">
        <f>H126/100</f>
        <v>360.2</v>
      </c>
    </row>
    <row r="128" s="1" customFormat="1" ht="20.1" customHeight="1" spans="1:10">
      <c r="A128" s="62"/>
      <c r="B128" s="63"/>
      <c r="C128" s="63"/>
      <c r="D128" s="44" t="s">
        <v>581</v>
      </c>
      <c r="E128" s="45"/>
      <c r="F128" s="45"/>
      <c r="G128" s="46" t="s">
        <v>584</v>
      </c>
      <c r="H128" s="47">
        <f>H127*10.76</f>
        <v>3875.752</v>
      </c>
      <c r="J128" s="28"/>
    </row>
    <row r="129" s="1" customFormat="1" ht="20.45" customHeight="1" spans="1:10">
      <c r="A129" s="62"/>
      <c r="B129" s="63"/>
      <c r="C129" s="63"/>
      <c r="D129" s="64"/>
      <c r="E129" s="65"/>
      <c r="F129" s="65"/>
      <c r="G129" s="66"/>
      <c r="H129" s="67"/>
      <c r="J129" s="28"/>
    </row>
    <row r="130" s="1" customFormat="1" ht="20.25" customHeight="1" spans="1:10">
      <c r="A130" s="19"/>
      <c r="B130" s="20"/>
      <c r="C130" s="21"/>
      <c r="D130" s="22" t="s">
        <v>711</v>
      </c>
      <c r="E130" s="21"/>
      <c r="F130" s="21"/>
      <c r="G130" s="23"/>
      <c r="H130" s="24"/>
      <c r="I130" s="56"/>
      <c r="J130" s="28"/>
    </row>
    <row r="131" s="1" customFormat="1" ht="9" customHeight="1" spans="2:10">
      <c r="B131" s="25"/>
      <c r="C131" s="26"/>
      <c r="D131" s="26"/>
      <c r="E131" s="26"/>
      <c r="F131" s="26"/>
      <c r="G131" s="27"/>
      <c r="H131" s="28"/>
      <c r="J131" s="28"/>
    </row>
    <row r="132" ht="20.45" customHeight="1" spans="1:12">
      <c r="A132" s="29" t="s">
        <v>712</v>
      </c>
      <c r="B132" s="29"/>
      <c r="C132" s="30" t="s">
        <v>713</v>
      </c>
      <c r="D132" s="30"/>
      <c r="E132" s="30"/>
      <c r="F132" s="30"/>
      <c r="G132" s="30"/>
      <c r="H132" s="30"/>
      <c r="L132" s="211"/>
    </row>
    <row r="133" ht="18" customHeight="1" spans="1:12">
      <c r="A133" s="3"/>
      <c r="B133" s="3"/>
      <c r="C133" s="3"/>
      <c r="D133" s="31"/>
      <c r="E133" s="32" t="s">
        <v>570</v>
      </c>
      <c r="F133" s="31">
        <v>0.51</v>
      </c>
      <c r="G133" s="32" t="s">
        <v>288</v>
      </c>
      <c r="H133" s="204"/>
      <c r="L133" s="212"/>
    </row>
    <row r="134" ht="20.45" customHeight="1" spans="2:12">
      <c r="B134" s="34" t="s">
        <v>194</v>
      </c>
      <c r="C134" s="34" t="s">
        <v>573</v>
      </c>
      <c r="D134" s="34" t="s">
        <v>574</v>
      </c>
      <c r="E134" s="34" t="s">
        <v>6</v>
      </c>
      <c r="F134" s="34" t="s">
        <v>575</v>
      </c>
      <c r="G134" s="34" t="s">
        <v>576</v>
      </c>
      <c r="H134" s="35" t="s">
        <v>577</v>
      </c>
      <c r="L134" s="55"/>
    </row>
    <row r="135" ht="20.1" customHeight="1" spans="2:12">
      <c r="B135" s="34">
        <v>1.00999999046326</v>
      </c>
      <c r="C135" s="36" t="s">
        <v>714</v>
      </c>
      <c r="D135" s="34" t="s">
        <v>690</v>
      </c>
      <c r="E135" s="34" t="s">
        <v>288</v>
      </c>
      <c r="F135" s="34">
        <v>0.51</v>
      </c>
      <c r="G135" s="75">
        <f>H26</f>
        <v>82540</v>
      </c>
      <c r="H135" s="38">
        <f>G135*F135</f>
        <v>42095.4</v>
      </c>
      <c r="L135" s="55"/>
    </row>
    <row r="136" ht="20.45" customHeight="1" spans="2:12">
      <c r="B136" s="34"/>
      <c r="C136" s="36" t="s">
        <v>715</v>
      </c>
      <c r="D136" s="34"/>
      <c r="E136" s="34"/>
      <c r="F136" s="34"/>
      <c r="G136" s="75"/>
      <c r="H136" s="38">
        <f>H135*0.05</f>
        <v>2104.77</v>
      </c>
      <c r="L136" s="55"/>
    </row>
    <row r="137" ht="20.1" customHeight="1" spans="2:12">
      <c r="B137" s="34">
        <v>1.02499997615814</v>
      </c>
      <c r="C137" s="36" t="s">
        <v>183</v>
      </c>
      <c r="D137" s="34" t="s">
        <v>184</v>
      </c>
      <c r="E137" s="34" t="s">
        <v>175</v>
      </c>
      <c r="F137" s="34">
        <v>0.5</v>
      </c>
      <c r="G137" s="75">
        <f>'Basic Rates'!O5</f>
        <v>2500</v>
      </c>
      <c r="H137" s="38">
        <f t="shared" ref="H137:H143" si="5">G137*F137</f>
        <v>1250</v>
      </c>
      <c r="L137" s="55"/>
    </row>
    <row r="138" ht="20.1" customHeight="1" spans="2:12">
      <c r="B138" s="34">
        <v>1.02999997138977</v>
      </c>
      <c r="C138" s="36" t="s">
        <v>217</v>
      </c>
      <c r="D138" s="34" t="s">
        <v>218</v>
      </c>
      <c r="E138" s="34" t="s">
        <v>175</v>
      </c>
      <c r="F138" s="34">
        <v>0.5</v>
      </c>
      <c r="G138" s="75">
        <f>'Basic Rates'!J6</f>
        <v>3500</v>
      </c>
      <c r="H138" s="38">
        <f t="shared" si="5"/>
        <v>1750</v>
      </c>
      <c r="L138" s="55"/>
    </row>
    <row r="139" ht="20.1" customHeight="1" spans="2:12">
      <c r="B139" s="34">
        <v>1.03999996185303</v>
      </c>
      <c r="C139" s="36" t="s">
        <v>208</v>
      </c>
      <c r="D139" s="34" t="s">
        <v>209</v>
      </c>
      <c r="E139" s="34" t="s">
        <v>175</v>
      </c>
      <c r="F139" s="34">
        <v>1.5</v>
      </c>
      <c r="G139" s="75">
        <f>'Basic Rates'!J10</f>
        <v>2300</v>
      </c>
      <c r="H139" s="38">
        <f t="shared" si="5"/>
        <v>3450</v>
      </c>
      <c r="L139" s="55"/>
    </row>
    <row r="140" s="4" customFormat="1" ht="20.1" customHeight="1" spans="1:12">
      <c r="A140" s="6"/>
      <c r="B140" s="34">
        <v>1.04999995231628</v>
      </c>
      <c r="C140" s="36" t="s">
        <v>716</v>
      </c>
      <c r="D140" s="34" t="s">
        <v>196</v>
      </c>
      <c r="E140" s="34" t="s">
        <v>175</v>
      </c>
      <c r="F140" s="34">
        <v>0.5</v>
      </c>
      <c r="G140" s="75">
        <f>'Basic Rates'!O5</f>
        <v>2500</v>
      </c>
      <c r="H140" s="38">
        <f t="shared" si="5"/>
        <v>1250</v>
      </c>
      <c r="J140" s="207"/>
      <c r="L140" s="55"/>
    </row>
    <row r="141" s="4" customFormat="1" ht="20.1" customHeight="1" spans="1:12">
      <c r="A141" s="6"/>
      <c r="B141" s="34">
        <v>1.05999994277954</v>
      </c>
      <c r="C141" s="36" t="s">
        <v>332</v>
      </c>
      <c r="D141" s="34" t="s">
        <v>333</v>
      </c>
      <c r="E141" s="34" t="s">
        <v>187</v>
      </c>
      <c r="F141" s="34">
        <v>45</v>
      </c>
      <c r="G141" s="75">
        <f>'Basic Rates'!E66</f>
        <v>3.5</v>
      </c>
      <c r="H141" s="38">
        <f t="shared" si="5"/>
        <v>157.5</v>
      </c>
      <c r="J141" s="207"/>
      <c r="L141" s="55"/>
    </row>
    <row r="142" s="2" customFormat="1" ht="20.1" customHeight="1" spans="1:12">
      <c r="A142" s="6"/>
      <c r="B142" s="34">
        <v>1.07000005245209</v>
      </c>
      <c r="C142" s="36" t="s">
        <v>36</v>
      </c>
      <c r="D142" s="34" t="s">
        <v>525</v>
      </c>
      <c r="E142" s="34" t="s">
        <v>173</v>
      </c>
      <c r="F142" s="34">
        <v>100</v>
      </c>
      <c r="G142" s="75">
        <f>'Basic Rates'!E161</f>
        <v>0.3</v>
      </c>
      <c r="H142" s="38">
        <f t="shared" si="5"/>
        <v>30</v>
      </c>
      <c r="I142" s="57"/>
      <c r="J142" s="208"/>
      <c r="L142" s="55"/>
    </row>
    <row r="143" s="3" customFormat="1" ht="20.1" customHeight="1" spans="1:12">
      <c r="A143" s="6"/>
      <c r="B143" s="34">
        <v>1.08000004291534</v>
      </c>
      <c r="C143" s="36" t="s">
        <v>717</v>
      </c>
      <c r="D143" s="34" t="s">
        <v>209</v>
      </c>
      <c r="E143" s="34" t="s">
        <v>175</v>
      </c>
      <c r="F143" s="34">
        <v>0.5</v>
      </c>
      <c r="G143" s="75">
        <f>'Basic Rates'!J10</f>
        <v>2300</v>
      </c>
      <c r="H143" s="38">
        <f t="shared" si="5"/>
        <v>1150</v>
      </c>
      <c r="J143" s="209"/>
      <c r="L143" s="55"/>
    </row>
    <row r="144" ht="20.1" customHeight="1" spans="2:12">
      <c r="B144" s="61"/>
      <c r="C144" s="61"/>
      <c r="D144" s="39" t="s">
        <v>579</v>
      </c>
      <c r="E144" s="40">
        <f>$F$133</f>
        <v>0.51</v>
      </c>
      <c r="F144" s="40" t="str">
        <f>$G$133</f>
        <v>Cube</v>
      </c>
      <c r="G144" s="41"/>
      <c r="H144" s="38">
        <f>SUM(H135:H143)</f>
        <v>53237.67</v>
      </c>
      <c r="L144" s="55"/>
    </row>
    <row r="145" ht="20.1" customHeight="1" spans="2:12">
      <c r="B145" s="61"/>
      <c r="C145" s="61"/>
      <c r="D145" s="39" t="s">
        <v>580</v>
      </c>
      <c r="E145" s="40" t="str">
        <f>$G$133</f>
        <v>Cube</v>
      </c>
      <c r="F145" s="40"/>
      <c r="G145" s="41"/>
      <c r="H145" s="38">
        <f>H144/F133</f>
        <v>104387.588235294</v>
      </c>
      <c r="I145" s="216" t="s">
        <v>718</v>
      </c>
      <c r="J145" s="217">
        <f>H144</f>
        <v>53237.67</v>
      </c>
      <c r="L145" s="55"/>
    </row>
    <row r="146" ht="20.1" customHeight="1" spans="1:12">
      <c r="A146" s="42"/>
      <c r="B146" s="43"/>
      <c r="C146" s="43"/>
      <c r="D146" s="44" t="s">
        <v>581</v>
      </c>
      <c r="E146" s="45"/>
      <c r="F146" s="45"/>
      <c r="G146" s="46" t="s">
        <v>595</v>
      </c>
      <c r="H146" s="47">
        <f>ROUND(H145,0)</f>
        <v>104388</v>
      </c>
      <c r="I146" s="46" t="s">
        <v>719</v>
      </c>
      <c r="J146" s="47">
        <f>J145/40</f>
        <v>1330.94175</v>
      </c>
      <c r="L146" s="62"/>
    </row>
    <row r="147" ht="20.1" customHeight="1" spans="1:12">
      <c r="A147" s="62"/>
      <c r="B147" s="63"/>
      <c r="C147" s="63"/>
      <c r="D147" s="44" t="s">
        <v>581</v>
      </c>
      <c r="E147" s="45"/>
      <c r="F147" s="45"/>
      <c r="G147" s="46" t="s">
        <v>597</v>
      </c>
      <c r="H147" s="47">
        <f>H146/2.83</f>
        <v>36886.2190812721</v>
      </c>
      <c r="I147" s="46" t="s">
        <v>720</v>
      </c>
      <c r="J147" s="47">
        <f>J146*3.28</f>
        <v>4365.48894</v>
      </c>
      <c r="L147" s="62"/>
    </row>
    <row r="148" s="4" customFormat="1" ht="20.1" customHeight="1" spans="1:12">
      <c r="A148" s="42"/>
      <c r="B148" s="42"/>
      <c r="D148" s="48" t="s">
        <v>721</v>
      </c>
      <c r="E148" s="49"/>
      <c r="F148" s="49"/>
      <c r="G148" s="46" t="s">
        <v>597</v>
      </c>
      <c r="H148" s="47">
        <f>H147</f>
        <v>36886.2190812721</v>
      </c>
      <c r="I148" s="46" t="s">
        <v>720</v>
      </c>
      <c r="J148" s="47">
        <f>J147</f>
        <v>4365.48894</v>
      </c>
      <c r="L148" s="62"/>
    </row>
    <row r="149" s="4" customFormat="1" ht="20.1" customHeight="1" spans="1:12">
      <c r="A149" s="42"/>
      <c r="B149" s="42"/>
      <c r="D149" s="48" t="s">
        <v>722</v>
      </c>
      <c r="E149" s="49"/>
      <c r="F149" s="49"/>
      <c r="G149" s="46" t="s">
        <v>597</v>
      </c>
      <c r="H149" s="47">
        <f>H148*1.1</f>
        <v>40574.8409893993</v>
      </c>
      <c r="I149" s="46" t="s">
        <v>720</v>
      </c>
      <c r="J149" s="47">
        <f>J148*1.1</f>
        <v>4802.037834</v>
      </c>
      <c r="L149" s="62"/>
    </row>
    <row r="150" s="4" customFormat="1" ht="20.1" customHeight="1" spans="1:12">
      <c r="A150" s="42"/>
      <c r="B150" s="42"/>
      <c r="D150" s="48" t="s">
        <v>723</v>
      </c>
      <c r="E150" s="49"/>
      <c r="F150" s="49"/>
      <c r="G150" s="46" t="s">
        <v>597</v>
      </c>
      <c r="H150" s="47">
        <f>H149*1.1</f>
        <v>44632.3250883392</v>
      </c>
      <c r="I150" s="46" t="s">
        <v>720</v>
      </c>
      <c r="J150" s="47">
        <f>J149*1.1</f>
        <v>5282.2416174</v>
      </c>
      <c r="L150" s="62"/>
    </row>
    <row r="151" s="4" customFormat="1" ht="20.1" customHeight="1" spans="1:12">
      <c r="A151" s="42"/>
      <c r="B151" s="42"/>
      <c r="D151" s="48" t="s">
        <v>724</v>
      </c>
      <c r="E151" s="49"/>
      <c r="F151" s="49"/>
      <c r="G151" s="46" t="s">
        <v>597</v>
      </c>
      <c r="H151" s="47">
        <f>H150*1.1</f>
        <v>49095.5575971732</v>
      </c>
      <c r="I151" s="46" t="s">
        <v>720</v>
      </c>
      <c r="J151" s="47">
        <f>J150*1.1</f>
        <v>5810.46577914</v>
      </c>
      <c r="L151" s="62"/>
    </row>
    <row r="152" s="1" customFormat="1" ht="20.45" customHeight="1" spans="1:12">
      <c r="A152" s="62"/>
      <c r="B152" s="63"/>
      <c r="C152" s="63"/>
      <c r="D152" s="64"/>
      <c r="E152" s="65"/>
      <c r="F152" s="65"/>
      <c r="G152" s="66"/>
      <c r="H152" s="67"/>
      <c r="J152" s="28"/>
      <c r="L152" s="55"/>
    </row>
    <row r="153" ht="20.45" customHeight="1" spans="1:12">
      <c r="A153" s="29" t="s">
        <v>725</v>
      </c>
      <c r="B153" s="29"/>
      <c r="C153" s="30" t="s">
        <v>726</v>
      </c>
      <c r="D153" s="30"/>
      <c r="E153" s="30"/>
      <c r="F153" s="30"/>
      <c r="G153" s="30"/>
      <c r="H153" s="30"/>
      <c r="L153" s="55"/>
    </row>
    <row r="154" ht="18" customHeight="1" spans="1:12">
      <c r="A154" s="3"/>
      <c r="B154" s="3"/>
      <c r="C154" s="3"/>
      <c r="D154" s="31"/>
      <c r="E154" s="32" t="s">
        <v>570</v>
      </c>
      <c r="F154" s="31">
        <v>240</v>
      </c>
      <c r="G154" s="32" t="s">
        <v>308</v>
      </c>
      <c r="H154" s="215" t="s">
        <v>727</v>
      </c>
      <c r="I154" s="218">
        <v>0.45</v>
      </c>
      <c r="J154" s="215" t="s">
        <v>728</v>
      </c>
      <c r="L154" s="55"/>
    </row>
    <row r="155" s="3" customFormat="1" ht="18" customHeight="1" spans="1:12">
      <c r="A155" s="6"/>
      <c r="B155" s="34" t="s">
        <v>194</v>
      </c>
      <c r="C155" s="34" t="s">
        <v>573</v>
      </c>
      <c r="D155" s="34" t="s">
        <v>574</v>
      </c>
      <c r="E155" s="34" t="s">
        <v>6</v>
      </c>
      <c r="F155" s="34" t="s">
        <v>575</v>
      </c>
      <c r="G155" s="34" t="s">
        <v>576</v>
      </c>
      <c r="H155" s="35" t="s">
        <v>577</v>
      </c>
      <c r="J155" s="209"/>
      <c r="L155" s="212"/>
    </row>
    <row r="156" ht="20.1" customHeight="1" spans="2:12">
      <c r="B156" s="34">
        <v>1.00999999046326</v>
      </c>
      <c r="C156" s="36" t="s">
        <v>729</v>
      </c>
      <c r="D156" s="34" t="s">
        <v>699</v>
      </c>
      <c r="E156" s="34" t="s">
        <v>638</v>
      </c>
      <c r="F156" s="34">
        <v>0.45</v>
      </c>
      <c r="G156" s="75">
        <f>'05'!H71</f>
        <v>69530</v>
      </c>
      <c r="H156" s="38">
        <f>G156*F156</f>
        <v>31288.5</v>
      </c>
      <c r="L156" s="55"/>
    </row>
    <row r="157" ht="20.45" customHeight="1" spans="2:12">
      <c r="B157" s="34"/>
      <c r="C157" s="36" t="s">
        <v>715</v>
      </c>
      <c r="D157" s="34"/>
      <c r="E157" s="34"/>
      <c r="F157" s="34"/>
      <c r="G157" s="75"/>
      <c r="H157" s="38">
        <f>H156*0.05</f>
        <v>1564.425</v>
      </c>
      <c r="L157" s="55"/>
    </row>
    <row r="158" ht="20.1" customHeight="1" spans="2:12">
      <c r="B158" s="34">
        <v>1.02499997615814</v>
      </c>
      <c r="C158" s="36" t="s">
        <v>183</v>
      </c>
      <c r="D158" s="34" t="s">
        <v>184</v>
      </c>
      <c r="E158" s="34" t="s">
        <v>175</v>
      </c>
      <c r="F158" s="34">
        <v>1</v>
      </c>
      <c r="G158" s="75">
        <f>'Basic Rates'!O5</f>
        <v>2500</v>
      </c>
      <c r="H158" s="38">
        <f t="shared" ref="H158:H164" si="6">G158*F158</f>
        <v>2500</v>
      </c>
      <c r="L158" s="55"/>
    </row>
    <row r="159" ht="20.1" customHeight="1" spans="2:12">
      <c r="B159" s="34">
        <v>1.02999997138977</v>
      </c>
      <c r="C159" s="36" t="s">
        <v>217</v>
      </c>
      <c r="D159" s="34" t="s">
        <v>218</v>
      </c>
      <c r="E159" s="34" t="s">
        <v>175</v>
      </c>
      <c r="F159" s="34">
        <v>1</v>
      </c>
      <c r="G159" s="75">
        <f>'Basic Rates'!J12</f>
        <v>3500</v>
      </c>
      <c r="H159" s="38">
        <f t="shared" si="6"/>
        <v>3500</v>
      </c>
      <c r="L159" s="55"/>
    </row>
    <row r="160" ht="20.1" customHeight="1" spans="2:12">
      <c r="B160" s="34">
        <v>1.03999996185303</v>
      </c>
      <c r="C160" s="36" t="s">
        <v>208</v>
      </c>
      <c r="D160" s="34" t="s">
        <v>209</v>
      </c>
      <c r="E160" s="34" t="s">
        <v>175</v>
      </c>
      <c r="F160" s="34">
        <v>3</v>
      </c>
      <c r="G160" s="75">
        <f>'Basic Rates'!J10</f>
        <v>2300</v>
      </c>
      <c r="H160" s="38">
        <f t="shared" si="6"/>
        <v>6900</v>
      </c>
      <c r="L160" s="55"/>
    </row>
    <row r="161" ht="20.1" customHeight="1" spans="2:12">
      <c r="B161" s="34">
        <v>1.04999995231628</v>
      </c>
      <c r="C161" s="36" t="s">
        <v>195</v>
      </c>
      <c r="D161" s="34" t="s">
        <v>196</v>
      </c>
      <c r="E161" s="34" t="s">
        <v>175</v>
      </c>
      <c r="F161" s="34">
        <v>1</v>
      </c>
      <c r="G161" s="75">
        <f>'Basic Rates'!J6</f>
        <v>3500</v>
      </c>
      <c r="H161" s="38">
        <f t="shared" si="6"/>
        <v>3500</v>
      </c>
      <c r="L161" s="55"/>
    </row>
    <row r="162" ht="20.1" customHeight="1" spans="2:12">
      <c r="B162" s="34">
        <v>1.05999994277954</v>
      </c>
      <c r="C162" s="36" t="s">
        <v>332</v>
      </c>
      <c r="D162" s="34" t="s">
        <v>333</v>
      </c>
      <c r="E162" s="34" t="s">
        <v>187</v>
      </c>
      <c r="F162" s="34">
        <v>10</v>
      </c>
      <c r="G162" s="75">
        <f>'Basic Rates'!E66</f>
        <v>3.5</v>
      </c>
      <c r="H162" s="38">
        <f t="shared" si="6"/>
        <v>35</v>
      </c>
      <c r="L162" s="55"/>
    </row>
    <row r="163" ht="20.1" customHeight="1" spans="2:12">
      <c r="B163" s="34">
        <v>1.07000005245209</v>
      </c>
      <c r="C163" s="36" t="s">
        <v>36</v>
      </c>
      <c r="D163" s="34" t="s">
        <v>525</v>
      </c>
      <c r="E163" s="34" t="s">
        <v>173</v>
      </c>
      <c r="F163" s="34">
        <v>170</v>
      </c>
      <c r="G163" s="75">
        <f>'Basic Rates'!E161</f>
        <v>0.3</v>
      </c>
      <c r="H163" s="38">
        <f t="shared" si="6"/>
        <v>51</v>
      </c>
      <c r="L163" s="55"/>
    </row>
    <row r="164" ht="20.1" customHeight="1" spans="2:12">
      <c r="B164" s="34">
        <v>1.08000004291534</v>
      </c>
      <c r="C164" s="36" t="s">
        <v>717</v>
      </c>
      <c r="D164" s="34" t="s">
        <v>209</v>
      </c>
      <c r="E164" s="34" t="s">
        <v>175</v>
      </c>
      <c r="F164" s="34">
        <v>0.5</v>
      </c>
      <c r="G164" s="75">
        <f>'Basic Rates'!J10</f>
        <v>2300</v>
      </c>
      <c r="H164" s="38">
        <f t="shared" si="6"/>
        <v>1150</v>
      </c>
      <c r="L164" s="55"/>
    </row>
    <row r="165" ht="20.1" customHeight="1" spans="2:12">
      <c r="B165" s="61"/>
      <c r="C165" s="61"/>
      <c r="D165" s="39" t="s">
        <v>579</v>
      </c>
      <c r="E165" s="40">
        <f>$F$154</f>
        <v>240</v>
      </c>
      <c r="F165" s="40" t="str">
        <f>$G$154</f>
        <v>L.ft</v>
      </c>
      <c r="G165" s="41"/>
      <c r="H165" s="38">
        <f>SUM(H156:H164)</f>
        <v>50488.925</v>
      </c>
      <c r="I165" s="41" t="s">
        <v>730</v>
      </c>
      <c r="J165" s="38">
        <f>H165</f>
        <v>50488.925</v>
      </c>
      <c r="L165" s="55"/>
    </row>
    <row r="166" ht="20.1" customHeight="1" spans="2:10">
      <c r="B166" s="61"/>
      <c r="C166" s="61"/>
      <c r="D166" s="39" t="s">
        <v>580</v>
      </c>
      <c r="E166" s="40" t="str">
        <f>$G$154</f>
        <v>L.ft</v>
      </c>
      <c r="F166" s="40"/>
      <c r="G166" s="41"/>
      <c r="H166" s="38">
        <f>H165/F154</f>
        <v>210.370520833333</v>
      </c>
      <c r="I166" s="41" t="s">
        <v>731</v>
      </c>
      <c r="J166" s="38">
        <f>J165/I154</f>
        <v>112197.611111111</v>
      </c>
    </row>
    <row r="167" ht="20.1" customHeight="1" spans="1:10">
      <c r="A167" s="42"/>
      <c r="B167" s="43"/>
      <c r="C167" s="43"/>
      <c r="D167" s="44" t="s">
        <v>581</v>
      </c>
      <c r="E167" s="45"/>
      <c r="F167" s="45"/>
      <c r="G167" s="46" t="s">
        <v>732</v>
      </c>
      <c r="H167" s="47">
        <f>ROUND(H166,-1)</f>
        <v>210</v>
      </c>
      <c r="I167" s="46" t="s">
        <v>595</v>
      </c>
      <c r="J167" s="47">
        <f>ROUND(J166,-1)</f>
        <v>112200</v>
      </c>
    </row>
    <row r="168" ht="20.1" customHeight="1" spans="1:10">
      <c r="A168" s="42"/>
      <c r="B168" s="43"/>
      <c r="C168" s="43"/>
      <c r="D168" s="44" t="s">
        <v>581</v>
      </c>
      <c r="E168" s="45"/>
      <c r="F168" s="45"/>
      <c r="G168" s="46" t="s">
        <v>720</v>
      </c>
      <c r="H168" s="47">
        <f>H167*3.28</f>
        <v>688.8</v>
      </c>
      <c r="I168" s="46" t="s">
        <v>597</v>
      </c>
      <c r="J168" s="47">
        <f>J167/2.83</f>
        <v>39646.6431095406</v>
      </c>
    </row>
    <row r="169" s="4" customFormat="1" ht="20.1" customHeight="1" spans="1:10">
      <c r="A169" s="42"/>
      <c r="B169" s="42"/>
      <c r="D169" s="48" t="s">
        <v>721</v>
      </c>
      <c r="E169" s="49"/>
      <c r="F169" s="49"/>
      <c r="G169" s="46" t="s">
        <v>720</v>
      </c>
      <c r="H169" s="47">
        <f>H168</f>
        <v>688.8</v>
      </c>
      <c r="I169" s="46" t="s">
        <v>597</v>
      </c>
      <c r="J169" s="47">
        <f>J168</f>
        <v>39646.6431095406</v>
      </c>
    </row>
    <row r="170" s="4" customFormat="1" ht="20.1" customHeight="1" spans="1:10">
      <c r="A170" s="42"/>
      <c r="B170" s="42"/>
      <c r="D170" s="48" t="s">
        <v>722</v>
      </c>
      <c r="E170" s="49"/>
      <c r="F170" s="49"/>
      <c r="G170" s="46" t="s">
        <v>720</v>
      </c>
      <c r="H170" s="47">
        <f>H169*1.1</f>
        <v>757.68</v>
      </c>
      <c r="I170" s="46" t="s">
        <v>597</v>
      </c>
      <c r="J170" s="47">
        <f>J169*1.1</f>
        <v>43611.3074204947</v>
      </c>
    </row>
    <row r="171" s="4" customFormat="1" ht="20.1" customHeight="1" spans="1:10">
      <c r="A171" s="42"/>
      <c r="B171" s="42"/>
      <c r="D171" s="48" t="s">
        <v>723</v>
      </c>
      <c r="E171" s="49"/>
      <c r="F171" s="49"/>
      <c r="G171" s="46" t="s">
        <v>720</v>
      </c>
      <c r="H171" s="47">
        <f>H170*1.1</f>
        <v>833.448</v>
      </c>
      <c r="I171" s="46" t="s">
        <v>597</v>
      </c>
      <c r="J171" s="47">
        <f>J170*1.1</f>
        <v>47972.4381625442</v>
      </c>
    </row>
    <row r="172" s="4" customFormat="1" ht="20.1" customHeight="1" spans="1:10">
      <c r="A172" s="42"/>
      <c r="B172" s="42"/>
      <c r="D172" s="48" t="s">
        <v>724</v>
      </c>
      <c r="E172" s="49"/>
      <c r="F172" s="49"/>
      <c r="G172" s="46" t="s">
        <v>720</v>
      </c>
      <c r="H172" s="47">
        <f>H171*1.1</f>
        <v>916.7928</v>
      </c>
      <c r="I172" s="46" t="s">
        <v>597</v>
      </c>
      <c r="J172" s="47">
        <f>J171*1.1</f>
        <v>52769.6819787986</v>
      </c>
    </row>
    <row r="173" s="1" customFormat="1" ht="20.45" customHeight="1" spans="1:10">
      <c r="A173" s="62"/>
      <c r="B173" s="63"/>
      <c r="C173" s="63"/>
      <c r="D173" s="64"/>
      <c r="E173" s="65"/>
      <c r="F173" s="65"/>
      <c r="G173" s="66"/>
      <c r="H173" s="67"/>
      <c r="J173" s="28"/>
    </row>
    <row r="174" ht="20.45" customHeight="1" spans="1:8">
      <c r="A174" s="29" t="s">
        <v>733</v>
      </c>
      <c r="B174" s="29"/>
      <c r="C174" s="30" t="s">
        <v>734</v>
      </c>
      <c r="D174" s="30"/>
      <c r="E174" s="30"/>
      <c r="F174" s="30"/>
      <c r="G174" s="30"/>
      <c r="H174" s="30"/>
    </row>
    <row r="175" ht="18" customHeight="1" spans="1:10">
      <c r="A175" s="3"/>
      <c r="B175" s="3"/>
      <c r="C175" s="3"/>
      <c r="D175" s="31"/>
      <c r="E175" s="32" t="s">
        <v>570</v>
      </c>
      <c r="F175" s="31">
        <v>180</v>
      </c>
      <c r="G175" s="32" t="s">
        <v>308</v>
      </c>
      <c r="H175" s="215" t="s">
        <v>727</v>
      </c>
      <c r="I175" s="218">
        <v>0.45</v>
      </c>
      <c r="J175" s="215" t="s">
        <v>728</v>
      </c>
    </row>
    <row r="176" s="3" customFormat="1" ht="18" customHeight="1" spans="1:10">
      <c r="A176" s="6"/>
      <c r="B176" s="34" t="s">
        <v>194</v>
      </c>
      <c r="C176" s="34" t="s">
        <v>573</v>
      </c>
      <c r="D176" s="34" t="s">
        <v>574</v>
      </c>
      <c r="E176" s="34" t="s">
        <v>6</v>
      </c>
      <c r="F176" s="34" t="s">
        <v>575</v>
      </c>
      <c r="G176" s="34" t="s">
        <v>576</v>
      </c>
      <c r="H176" s="35" t="s">
        <v>577</v>
      </c>
      <c r="J176" s="209"/>
    </row>
    <row r="177" ht="20.1" customHeight="1" spans="2:8">
      <c r="B177" s="34">
        <v>1.00999999046326</v>
      </c>
      <c r="C177" s="36" t="s">
        <v>729</v>
      </c>
      <c r="D177" s="34" t="s">
        <v>699</v>
      </c>
      <c r="E177" s="34" t="s">
        <v>638</v>
      </c>
      <c r="F177" s="34">
        <v>0.45</v>
      </c>
      <c r="G177" s="75">
        <f>H71</f>
        <v>69530</v>
      </c>
      <c r="H177" s="38">
        <f>G177*F177</f>
        <v>31288.5</v>
      </c>
    </row>
    <row r="178" ht="20.45" customHeight="1" spans="2:8">
      <c r="B178" s="34"/>
      <c r="C178" s="36" t="s">
        <v>715</v>
      </c>
      <c r="D178" s="34"/>
      <c r="E178" s="34"/>
      <c r="F178" s="34"/>
      <c r="G178" s="75"/>
      <c r="H178" s="38">
        <f>H177*0.05</f>
        <v>1564.425</v>
      </c>
    </row>
    <row r="179" ht="20.1" customHeight="1" spans="2:8">
      <c r="B179" s="34">
        <v>1.02499997615814</v>
      </c>
      <c r="C179" s="36" t="s">
        <v>183</v>
      </c>
      <c r="D179" s="34" t="s">
        <v>184</v>
      </c>
      <c r="E179" s="34" t="s">
        <v>175</v>
      </c>
      <c r="F179" s="34">
        <v>1</v>
      </c>
      <c r="G179" s="75">
        <f>'Basic Rates'!O5</f>
        <v>2500</v>
      </c>
      <c r="H179" s="38">
        <f t="shared" ref="H179:H185" si="7">G179*F179</f>
        <v>2500</v>
      </c>
    </row>
    <row r="180" ht="20.1" customHeight="1" spans="2:8">
      <c r="B180" s="34">
        <v>1.02999997138977</v>
      </c>
      <c r="C180" s="36" t="s">
        <v>217</v>
      </c>
      <c r="D180" s="34" t="s">
        <v>218</v>
      </c>
      <c r="E180" s="34" t="s">
        <v>175</v>
      </c>
      <c r="F180" s="34">
        <v>1</v>
      </c>
      <c r="G180" s="75">
        <f>'Basic Rates'!J6</f>
        <v>3500</v>
      </c>
      <c r="H180" s="38">
        <f t="shared" si="7"/>
        <v>3500</v>
      </c>
    </row>
    <row r="181" ht="20.1" customHeight="1" spans="2:8">
      <c r="B181" s="34">
        <v>1.03999996185303</v>
      </c>
      <c r="C181" s="36" t="s">
        <v>208</v>
      </c>
      <c r="D181" s="34" t="s">
        <v>209</v>
      </c>
      <c r="E181" s="34" t="s">
        <v>175</v>
      </c>
      <c r="F181" s="34">
        <v>3</v>
      </c>
      <c r="G181" s="75">
        <f>'Basic Rates'!J10</f>
        <v>2300</v>
      </c>
      <c r="H181" s="38">
        <f t="shared" si="7"/>
        <v>6900</v>
      </c>
    </row>
    <row r="182" ht="20.1" customHeight="1" spans="2:8">
      <c r="B182" s="34">
        <v>1.04999995231628</v>
      </c>
      <c r="C182" s="36" t="s">
        <v>716</v>
      </c>
      <c r="D182" s="34" t="s">
        <v>196</v>
      </c>
      <c r="E182" s="34" t="s">
        <v>175</v>
      </c>
      <c r="F182" s="34">
        <v>1</v>
      </c>
      <c r="G182" s="75">
        <f>'Basic Rates'!J7</f>
        <v>3500</v>
      </c>
      <c r="H182" s="38">
        <f t="shared" si="7"/>
        <v>3500</v>
      </c>
    </row>
    <row r="183" ht="20.1" customHeight="1" spans="2:8">
      <c r="B183" s="34">
        <v>1.05999994277954</v>
      </c>
      <c r="C183" s="36" t="s">
        <v>332</v>
      </c>
      <c r="D183" s="34" t="s">
        <v>333</v>
      </c>
      <c r="E183" s="34" t="s">
        <v>187</v>
      </c>
      <c r="F183" s="34">
        <v>80</v>
      </c>
      <c r="G183" s="75">
        <f>'Basic Rates'!E66</f>
        <v>3.5</v>
      </c>
      <c r="H183" s="38">
        <f t="shared" si="7"/>
        <v>280</v>
      </c>
    </row>
    <row r="184" ht="20.1" customHeight="1" spans="2:8">
      <c r="B184" s="34">
        <v>1.07000005245209</v>
      </c>
      <c r="C184" s="36" t="s">
        <v>36</v>
      </c>
      <c r="D184" s="34" t="s">
        <v>525</v>
      </c>
      <c r="E184" s="34" t="s">
        <v>173</v>
      </c>
      <c r="F184" s="34">
        <v>140</v>
      </c>
      <c r="G184" s="75">
        <f>'Basic Rates'!E161</f>
        <v>0.3</v>
      </c>
      <c r="H184" s="38">
        <f t="shared" si="7"/>
        <v>42</v>
      </c>
    </row>
    <row r="185" ht="20.1" customHeight="1" spans="2:8">
      <c r="B185" s="34">
        <v>1.08000004291534</v>
      </c>
      <c r="C185" s="36" t="s">
        <v>717</v>
      </c>
      <c r="D185" s="34" t="s">
        <v>209</v>
      </c>
      <c r="E185" s="34" t="s">
        <v>175</v>
      </c>
      <c r="F185" s="34">
        <v>0.5</v>
      </c>
      <c r="G185" s="75">
        <f>'Basic Rates'!J10</f>
        <v>2300</v>
      </c>
      <c r="H185" s="38">
        <f t="shared" si="7"/>
        <v>1150</v>
      </c>
    </row>
    <row r="186" ht="20.1" customHeight="1" spans="2:10">
      <c r="B186" s="61"/>
      <c r="C186" s="61"/>
      <c r="D186" s="39" t="s">
        <v>579</v>
      </c>
      <c r="E186" s="40">
        <f>$F$175</f>
        <v>180</v>
      </c>
      <c r="F186" s="40" t="str">
        <f>$G$175</f>
        <v>L.ft</v>
      </c>
      <c r="G186" s="41"/>
      <c r="H186" s="38">
        <f>SUM(H177:H185)</f>
        <v>50724.925</v>
      </c>
      <c r="I186" s="41" t="s">
        <v>730</v>
      </c>
      <c r="J186" s="38">
        <f>H186</f>
        <v>50724.925</v>
      </c>
    </row>
    <row r="187" ht="20.1" customHeight="1" spans="2:10">
      <c r="B187" s="61"/>
      <c r="C187" s="61"/>
      <c r="D187" s="39" t="s">
        <v>580</v>
      </c>
      <c r="E187" s="40" t="str">
        <f>$G$175</f>
        <v>L.ft</v>
      </c>
      <c r="F187" s="40"/>
      <c r="G187" s="41"/>
      <c r="H187" s="38">
        <f>H186/F175</f>
        <v>281.805138888889</v>
      </c>
      <c r="I187" s="41" t="s">
        <v>731</v>
      </c>
      <c r="J187" s="38">
        <f>J186/I175</f>
        <v>112722.055555556</v>
      </c>
    </row>
    <row r="188" ht="20.1" customHeight="1" spans="1:10">
      <c r="A188" s="42"/>
      <c r="B188" s="43"/>
      <c r="C188" s="43"/>
      <c r="D188" s="44" t="s">
        <v>581</v>
      </c>
      <c r="E188" s="45"/>
      <c r="F188" s="45"/>
      <c r="G188" s="46" t="s">
        <v>732</v>
      </c>
      <c r="H188" s="47">
        <f>ROUND(H187,-1)</f>
        <v>280</v>
      </c>
      <c r="I188" s="46" t="s">
        <v>595</v>
      </c>
      <c r="J188" s="47">
        <f>ROUND(J187,-1)</f>
        <v>112720</v>
      </c>
    </row>
    <row r="189" ht="20.1" customHeight="1" spans="1:10">
      <c r="A189" s="42"/>
      <c r="B189" s="43"/>
      <c r="C189" s="43"/>
      <c r="D189" s="44" t="s">
        <v>581</v>
      </c>
      <c r="E189" s="45"/>
      <c r="F189" s="45"/>
      <c r="G189" s="46" t="s">
        <v>720</v>
      </c>
      <c r="H189" s="47">
        <f>H188*3.28</f>
        <v>918.4</v>
      </c>
      <c r="I189" s="46" t="s">
        <v>597</v>
      </c>
      <c r="J189" s="47">
        <f>J188/2.83</f>
        <v>39830.3886925795</v>
      </c>
    </row>
    <row r="190" s="4" customFormat="1" ht="20.1" customHeight="1" spans="1:10">
      <c r="A190" s="42"/>
      <c r="B190" s="42"/>
      <c r="D190" s="48" t="s">
        <v>721</v>
      </c>
      <c r="E190" s="49"/>
      <c r="F190" s="49"/>
      <c r="G190" s="46" t="s">
        <v>720</v>
      </c>
      <c r="H190" s="47">
        <f>H189</f>
        <v>918.4</v>
      </c>
      <c r="I190" s="46" t="s">
        <v>597</v>
      </c>
      <c r="J190" s="47">
        <f>J189</f>
        <v>39830.3886925795</v>
      </c>
    </row>
    <row r="191" s="4" customFormat="1" ht="20.1" customHeight="1" spans="1:10">
      <c r="A191" s="42"/>
      <c r="B191" s="42"/>
      <c r="D191" s="48" t="s">
        <v>722</v>
      </c>
      <c r="E191" s="49"/>
      <c r="F191" s="49"/>
      <c r="G191" s="46" t="s">
        <v>720</v>
      </c>
      <c r="H191" s="47">
        <f>H190*1.1</f>
        <v>1010.24</v>
      </c>
      <c r="I191" s="46" t="s">
        <v>597</v>
      </c>
      <c r="J191" s="47">
        <f>J190*1.1</f>
        <v>43813.4275618375</v>
      </c>
    </row>
    <row r="192" s="4" customFormat="1" ht="20.1" customHeight="1" spans="1:10">
      <c r="A192" s="42"/>
      <c r="B192" s="42"/>
      <c r="D192" s="48" t="s">
        <v>723</v>
      </c>
      <c r="E192" s="49"/>
      <c r="F192" s="49"/>
      <c r="G192" s="46" t="s">
        <v>720</v>
      </c>
      <c r="H192" s="47">
        <f>H191*1.1</f>
        <v>1111.264</v>
      </c>
      <c r="I192" s="46" t="s">
        <v>597</v>
      </c>
      <c r="J192" s="47">
        <f>J191*1.1</f>
        <v>48194.7703180212</v>
      </c>
    </row>
    <row r="193" s="4" customFormat="1" ht="20.1" customHeight="1" spans="1:10">
      <c r="A193" s="42"/>
      <c r="B193" s="42"/>
      <c r="D193" s="48" t="s">
        <v>724</v>
      </c>
      <c r="E193" s="49"/>
      <c r="F193" s="49"/>
      <c r="G193" s="46" t="s">
        <v>720</v>
      </c>
      <c r="H193" s="47">
        <f>H192*1.1</f>
        <v>1222.3904</v>
      </c>
      <c r="I193" s="46" t="s">
        <v>597</v>
      </c>
      <c r="J193" s="47">
        <f>J192*1.1</f>
        <v>53014.2473498233</v>
      </c>
    </row>
    <row r="194" s="1" customFormat="1" ht="20.45" customHeight="1" spans="1:10">
      <c r="A194" s="62"/>
      <c r="B194" s="63"/>
      <c r="C194" s="63"/>
      <c r="D194" s="64"/>
      <c r="E194" s="65"/>
      <c r="F194" s="65"/>
      <c r="G194" s="66"/>
      <c r="H194" s="67"/>
      <c r="J194" s="28"/>
    </row>
    <row r="195" ht="20.45" customHeight="1" spans="1:8">
      <c r="A195" s="29" t="s">
        <v>735</v>
      </c>
      <c r="B195" s="29"/>
      <c r="C195" s="30" t="s">
        <v>736</v>
      </c>
      <c r="D195" s="30"/>
      <c r="E195" s="30"/>
      <c r="F195" s="30"/>
      <c r="G195" s="30"/>
      <c r="H195" s="30"/>
    </row>
    <row r="196" ht="18" customHeight="1" spans="1:10">
      <c r="A196" s="3"/>
      <c r="B196" s="3"/>
      <c r="C196" s="3"/>
      <c r="D196" s="31"/>
      <c r="E196" s="32" t="s">
        <v>570</v>
      </c>
      <c r="F196" s="31">
        <v>80</v>
      </c>
      <c r="G196" s="32" t="s">
        <v>308</v>
      </c>
      <c r="H196" s="215" t="s">
        <v>727</v>
      </c>
      <c r="I196" s="218">
        <v>0.45</v>
      </c>
      <c r="J196" s="215" t="s">
        <v>728</v>
      </c>
    </row>
    <row r="197" s="3" customFormat="1" ht="18" customHeight="1" spans="1:10">
      <c r="A197" s="6"/>
      <c r="B197" s="34" t="s">
        <v>194</v>
      </c>
      <c r="C197" s="34" t="s">
        <v>573</v>
      </c>
      <c r="D197" s="34" t="s">
        <v>574</v>
      </c>
      <c r="E197" s="34" t="s">
        <v>6</v>
      </c>
      <c r="F197" s="34" t="s">
        <v>575</v>
      </c>
      <c r="G197" s="34" t="s">
        <v>576</v>
      </c>
      <c r="H197" s="35" t="s">
        <v>577</v>
      </c>
      <c r="J197" s="209"/>
    </row>
    <row r="198" ht="20.1" customHeight="1" spans="2:8">
      <c r="B198" s="34">
        <v>1.00999999046326</v>
      </c>
      <c r="C198" s="36" t="s">
        <v>729</v>
      </c>
      <c r="D198" s="34" t="s">
        <v>699</v>
      </c>
      <c r="E198" s="34" t="s">
        <v>638</v>
      </c>
      <c r="F198" s="34">
        <v>0.45</v>
      </c>
      <c r="G198" s="75">
        <f>'05'!H71</f>
        <v>69530</v>
      </c>
      <c r="H198" s="38">
        <f>G198*F198</f>
        <v>31288.5</v>
      </c>
    </row>
    <row r="199" ht="20.45" customHeight="1" spans="2:8">
      <c r="B199" s="34"/>
      <c r="C199" s="36" t="s">
        <v>715</v>
      </c>
      <c r="D199" s="34"/>
      <c r="E199" s="34"/>
      <c r="F199" s="34"/>
      <c r="G199" s="75"/>
      <c r="H199" s="38">
        <f>H198*0.05</f>
        <v>1564.425</v>
      </c>
    </row>
    <row r="200" ht="20.1" customHeight="1" spans="2:8">
      <c r="B200" s="34">
        <v>1.02499997615814</v>
      </c>
      <c r="C200" s="36" t="s">
        <v>183</v>
      </c>
      <c r="D200" s="34" t="s">
        <v>184</v>
      </c>
      <c r="E200" s="34" t="s">
        <v>175</v>
      </c>
      <c r="F200" s="34">
        <v>1</v>
      </c>
      <c r="G200" s="75">
        <f>'Basic Rates'!O5</f>
        <v>2500</v>
      </c>
      <c r="H200" s="38">
        <f t="shared" ref="H200:H206" si="8">G200*F200</f>
        <v>2500</v>
      </c>
    </row>
    <row r="201" ht="20.1" customHeight="1" spans="2:8">
      <c r="B201" s="34">
        <v>1.02999997138977</v>
      </c>
      <c r="C201" s="36" t="s">
        <v>217</v>
      </c>
      <c r="D201" s="34" t="s">
        <v>218</v>
      </c>
      <c r="E201" s="34" t="s">
        <v>175</v>
      </c>
      <c r="F201" s="34">
        <v>1</v>
      </c>
      <c r="G201" s="75">
        <v>3800</v>
      </c>
      <c r="H201" s="38">
        <f t="shared" si="8"/>
        <v>3800</v>
      </c>
    </row>
    <row r="202" ht="20.1" customHeight="1" spans="2:8">
      <c r="B202" s="34">
        <v>1.03999996185303</v>
      </c>
      <c r="C202" s="36" t="s">
        <v>208</v>
      </c>
      <c r="D202" s="34" t="s">
        <v>209</v>
      </c>
      <c r="E202" s="34" t="s">
        <v>175</v>
      </c>
      <c r="F202" s="34">
        <v>3</v>
      </c>
      <c r="G202" s="75">
        <v>2800</v>
      </c>
      <c r="H202" s="38">
        <f t="shared" si="8"/>
        <v>8400</v>
      </c>
    </row>
    <row r="203" ht="20.1" customHeight="1" spans="2:8">
      <c r="B203" s="34">
        <v>1.04999995231628</v>
      </c>
      <c r="C203" s="36" t="s">
        <v>716</v>
      </c>
      <c r="D203" s="34" t="s">
        <v>196</v>
      </c>
      <c r="E203" s="34" t="s">
        <v>175</v>
      </c>
      <c r="F203" s="34">
        <v>1</v>
      </c>
      <c r="G203" s="75">
        <v>3800</v>
      </c>
      <c r="H203" s="38">
        <f t="shared" si="8"/>
        <v>3800</v>
      </c>
    </row>
    <row r="204" ht="20.1" customHeight="1" spans="2:8">
      <c r="B204" s="34">
        <v>1.05999994277954</v>
      </c>
      <c r="C204" s="36" t="s">
        <v>332</v>
      </c>
      <c r="D204" s="34" t="s">
        <v>333</v>
      </c>
      <c r="E204" s="34" t="s">
        <v>187</v>
      </c>
      <c r="F204" s="34">
        <v>60</v>
      </c>
      <c r="G204" s="75">
        <f>'Basic Rates'!E66</f>
        <v>3.5</v>
      </c>
      <c r="H204" s="38">
        <f t="shared" si="8"/>
        <v>210</v>
      </c>
    </row>
    <row r="205" ht="20.1" customHeight="1" spans="2:8">
      <c r="B205" s="34">
        <v>1.07000005245209</v>
      </c>
      <c r="C205" s="36" t="s">
        <v>36</v>
      </c>
      <c r="D205" s="34" t="s">
        <v>525</v>
      </c>
      <c r="E205" s="34" t="s">
        <v>173</v>
      </c>
      <c r="F205" s="34">
        <v>100</v>
      </c>
      <c r="G205" s="75">
        <f>'Basic Rates'!E161</f>
        <v>0.3</v>
      </c>
      <c r="H205" s="38">
        <f t="shared" si="8"/>
        <v>30</v>
      </c>
    </row>
    <row r="206" ht="20.1" customHeight="1" spans="2:8">
      <c r="B206" s="34">
        <v>1.08000004291534</v>
      </c>
      <c r="C206" s="36" t="s">
        <v>717</v>
      </c>
      <c r="D206" s="34" t="s">
        <v>209</v>
      </c>
      <c r="E206" s="34" t="s">
        <v>175</v>
      </c>
      <c r="F206" s="34">
        <v>0.5</v>
      </c>
      <c r="G206" s="75">
        <v>2800</v>
      </c>
      <c r="H206" s="38">
        <f t="shared" si="8"/>
        <v>1400</v>
      </c>
    </row>
    <row r="207" ht="20.45" customHeight="1" spans="2:10">
      <c r="B207" s="61"/>
      <c r="C207" s="61"/>
      <c r="D207" s="39" t="s">
        <v>579</v>
      </c>
      <c r="E207" s="40">
        <f>$F$196</f>
        <v>80</v>
      </c>
      <c r="F207" s="40" t="str">
        <f>$G$196</f>
        <v>L.ft</v>
      </c>
      <c r="G207" s="41"/>
      <c r="H207" s="38">
        <f>SUM(H198:H206)</f>
        <v>52992.925</v>
      </c>
      <c r="I207" s="41" t="s">
        <v>730</v>
      </c>
      <c r="J207" s="38">
        <f>H207</f>
        <v>52992.925</v>
      </c>
    </row>
    <row r="208" ht="20.45" customHeight="1" spans="2:10">
      <c r="B208" s="61"/>
      <c r="C208" s="61"/>
      <c r="D208" s="39" t="s">
        <v>580</v>
      </c>
      <c r="E208" s="40" t="str">
        <f>$G$196</f>
        <v>L.ft</v>
      </c>
      <c r="F208" s="40"/>
      <c r="G208" s="41"/>
      <c r="H208" s="38">
        <f>H207/F196</f>
        <v>662.4115625</v>
      </c>
      <c r="I208" s="41" t="s">
        <v>731</v>
      </c>
      <c r="J208" s="38">
        <f>J207/I196</f>
        <v>117762.055555556</v>
      </c>
    </row>
    <row r="209" ht="20.1" customHeight="1" spans="1:10">
      <c r="A209" s="42"/>
      <c r="B209" s="43"/>
      <c r="C209" s="43"/>
      <c r="D209" s="44" t="s">
        <v>581</v>
      </c>
      <c r="E209" s="45"/>
      <c r="F209" s="45"/>
      <c r="G209" s="46" t="s">
        <v>732</v>
      </c>
      <c r="H209" s="47">
        <f>ROUND(H208,-1)</f>
        <v>660</v>
      </c>
      <c r="I209" s="46" t="s">
        <v>595</v>
      </c>
      <c r="J209" s="47">
        <f>ROUND(J208,-1)</f>
        <v>117760</v>
      </c>
    </row>
    <row r="210" ht="20.1" customHeight="1" spans="1:13">
      <c r="A210" s="42"/>
      <c r="B210" s="43"/>
      <c r="C210" s="43"/>
      <c r="D210" s="44" t="s">
        <v>581</v>
      </c>
      <c r="E210" s="45"/>
      <c r="F210" s="45"/>
      <c r="G210" s="46" t="s">
        <v>720</v>
      </c>
      <c r="H210" s="47">
        <f>H209*3.28</f>
        <v>2164.8</v>
      </c>
      <c r="I210" s="46" t="s">
        <v>597</v>
      </c>
      <c r="J210" s="47">
        <f>J209/2.83</f>
        <v>41611.3074204947</v>
      </c>
      <c r="M210" s="219">
        <f>J210*135/100</f>
        <v>56175.2650176678</v>
      </c>
    </row>
    <row r="211" s="4" customFormat="1" ht="20.1" customHeight="1" spans="1:10">
      <c r="A211" s="42"/>
      <c r="B211" s="42"/>
      <c r="D211" s="48" t="s">
        <v>721</v>
      </c>
      <c r="E211" s="49"/>
      <c r="F211" s="49"/>
      <c r="G211" s="46" t="s">
        <v>720</v>
      </c>
      <c r="H211" s="47">
        <f>H210</f>
        <v>2164.8</v>
      </c>
      <c r="I211" s="46" t="s">
        <v>597</v>
      </c>
      <c r="J211" s="47">
        <f>J210</f>
        <v>41611.3074204947</v>
      </c>
    </row>
    <row r="212" s="4" customFormat="1" ht="20.1" customHeight="1" spans="1:10">
      <c r="A212" s="42"/>
      <c r="B212" s="42"/>
      <c r="D212" s="48" t="s">
        <v>722</v>
      </c>
      <c r="E212" s="49"/>
      <c r="F212" s="49"/>
      <c r="G212" s="46" t="s">
        <v>720</v>
      </c>
      <c r="H212" s="47">
        <f>H211*1.1</f>
        <v>2381.28</v>
      </c>
      <c r="I212" s="46" t="s">
        <v>597</v>
      </c>
      <c r="J212" s="47">
        <f>J211*1.1</f>
        <v>45772.4381625442</v>
      </c>
    </row>
    <row r="213" s="4" customFormat="1" ht="20.1" customHeight="1" spans="1:10">
      <c r="A213" s="42"/>
      <c r="B213" s="42"/>
      <c r="D213" s="48" t="s">
        <v>723</v>
      </c>
      <c r="E213" s="49"/>
      <c r="F213" s="49"/>
      <c r="G213" s="46" t="s">
        <v>720</v>
      </c>
      <c r="H213" s="47">
        <f>H212*1.1</f>
        <v>2619.408</v>
      </c>
      <c r="I213" s="46" t="s">
        <v>597</v>
      </c>
      <c r="J213" s="47">
        <f>J212*1.1</f>
        <v>50349.6819787986</v>
      </c>
    </row>
    <row r="214" s="4" customFormat="1" ht="20.1" customHeight="1" spans="1:10">
      <c r="A214" s="42"/>
      <c r="B214" s="42"/>
      <c r="D214" s="48" t="s">
        <v>724</v>
      </c>
      <c r="E214" s="49"/>
      <c r="F214" s="49"/>
      <c r="G214" s="46" t="s">
        <v>720</v>
      </c>
      <c r="H214" s="47">
        <f>H213*1.1</f>
        <v>2881.3488</v>
      </c>
      <c r="I214" s="46" t="s">
        <v>597</v>
      </c>
      <c r="J214" s="47">
        <f>J213*1.1</f>
        <v>55384.6501766784</v>
      </c>
    </row>
    <row r="215" s="1" customFormat="1" ht="20.45" customHeight="1" spans="1:10">
      <c r="A215" s="62"/>
      <c r="B215" s="63"/>
      <c r="C215" s="63"/>
      <c r="D215" s="64"/>
      <c r="E215" s="65"/>
      <c r="F215" s="65"/>
      <c r="G215" s="66"/>
      <c r="H215" s="67"/>
      <c r="J215" s="28"/>
    </row>
    <row r="216" ht="20.45" customHeight="1" spans="1:8">
      <c r="A216" s="29" t="s">
        <v>737</v>
      </c>
      <c r="B216" s="29"/>
      <c r="C216" s="30" t="s">
        <v>738</v>
      </c>
      <c r="D216" s="30"/>
      <c r="E216" s="30"/>
      <c r="F216" s="30"/>
      <c r="G216" s="30"/>
      <c r="H216" s="30"/>
    </row>
    <row r="217" ht="18" customHeight="1" spans="1:10">
      <c r="A217" s="3"/>
      <c r="B217" s="3"/>
      <c r="C217" s="3"/>
      <c r="D217" s="31"/>
      <c r="E217" s="32" t="s">
        <v>570</v>
      </c>
      <c r="F217" s="31">
        <v>50</v>
      </c>
      <c r="G217" s="32" t="s">
        <v>308</v>
      </c>
      <c r="H217" s="215" t="s">
        <v>727</v>
      </c>
      <c r="I217" s="218">
        <v>0.5</v>
      </c>
      <c r="J217" s="215" t="s">
        <v>728</v>
      </c>
    </row>
    <row r="218" s="3" customFormat="1" ht="18" customHeight="1" spans="1:10">
      <c r="A218" s="6"/>
      <c r="B218" s="34" t="s">
        <v>194</v>
      </c>
      <c r="C218" s="34" t="s">
        <v>573</v>
      </c>
      <c r="D218" s="34" t="s">
        <v>574</v>
      </c>
      <c r="E218" s="34" t="s">
        <v>6</v>
      </c>
      <c r="F218" s="34" t="s">
        <v>575</v>
      </c>
      <c r="G218" s="34" t="s">
        <v>576</v>
      </c>
      <c r="H218" s="35" t="s">
        <v>577</v>
      </c>
      <c r="J218" s="209"/>
    </row>
    <row r="219" ht="20.1" customHeight="1" spans="2:8">
      <c r="B219" s="34">
        <v>1.00999999046326</v>
      </c>
      <c r="C219" s="36" t="s">
        <v>700</v>
      </c>
      <c r="D219" s="34" t="s">
        <v>699</v>
      </c>
      <c r="E219" s="34" t="s">
        <v>638</v>
      </c>
      <c r="F219" s="34">
        <v>0.5</v>
      </c>
      <c r="G219" s="75">
        <f>H71</f>
        <v>69530</v>
      </c>
      <c r="H219" s="38">
        <f>G219*F219</f>
        <v>34765</v>
      </c>
    </row>
    <row r="220" ht="20.45" customHeight="1" spans="2:8">
      <c r="B220" s="34"/>
      <c r="C220" s="36" t="s">
        <v>715</v>
      </c>
      <c r="D220" s="34"/>
      <c r="E220" s="34"/>
      <c r="F220" s="34"/>
      <c r="G220" s="75"/>
      <c r="H220" s="38">
        <f>H219*0.05</f>
        <v>1738.25</v>
      </c>
    </row>
    <row r="221" ht="20.1" customHeight="1" spans="2:8">
      <c r="B221" s="34">
        <v>1.02499997615814</v>
      </c>
      <c r="C221" s="36" t="s">
        <v>183</v>
      </c>
      <c r="D221" s="34" t="s">
        <v>184</v>
      </c>
      <c r="E221" s="34" t="s">
        <v>175</v>
      </c>
      <c r="F221" s="34">
        <v>1</v>
      </c>
      <c r="G221" s="75">
        <f>'Basic Rates'!O5</f>
        <v>2500</v>
      </c>
      <c r="H221" s="38">
        <f t="shared" ref="H221:H227" si="9">G221*F221</f>
        <v>2500</v>
      </c>
    </row>
    <row r="222" ht="20.1" customHeight="1" spans="2:8">
      <c r="B222" s="34">
        <v>1.02999997138977</v>
      </c>
      <c r="C222" s="36" t="s">
        <v>217</v>
      </c>
      <c r="D222" s="34" t="s">
        <v>218</v>
      </c>
      <c r="E222" s="34" t="s">
        <v>175</v>
      </c>
      <c r="F222" s="34">
        <v>1</v>
      </c>
      <c r="G222" s="75">
        <f>'Basic Rates'!J6</f>
        <v>3500</v>
      </c>
      <c r="H222" s="38">
        <f t="shared" si="9"/>
        <v>3500</v>
      </c>
    </row>
    <row r="223" ht="20.1" customHeight="1" spans="2:8">
      <c r="B223" s="34">
        <v>1.03999996185303</v>
      </c>
      <c r="C223" s="36" t="s">
        <v>208</v>
      </c>
      <c r="D223" s="34" t="s">
        <v>209</v>
      </c>
      <c r="E223" s="34" t="s">
        <v>175</v>
      </c>
      <c r="F223" s="34">
        <v>3</v>
      </c>
      <c r="G223" s="75">
        <f>'Basic Rates'!J10</f>
        <v>2300</v>
      </c>
      <c r="H223" s="38">
        <f t="shared" si="9"/>
        <v>6900</v>
      </c>
    </row>
    <row r="224" ht="20.1" customHeight="1" spans="2:8">
      <c r="B224" s="34">
        <v>1.04999995231628</v>
      </c>
      <c r="C224" s="36" t="s">
        <v>716</v>
      </c>
      <c r="D224" s="34" t="s">
        <v>196</v>
      </c>
      <c r="E224" s="34" t="s">
        <v>175</v>
      </c>
      <c r="F224" s="34">
        <v>1</v>
      </c>
      <c r="G224" s="75">
        <f>'Basic Rates'!J7</f>
        <v>3500</v>
      </c>
      <c r="H224" s="38">
        <f t="shared" si="9"/>
        <v>3500</v>
      </c>
    </row>
    <row r="225" ht="20.1" customHeight="1" spans="2:8">
      <c r="B225" s="34">
        <v>1.05999994277954</v>
      </c>
      <c r="C225" s="36" t="s">
        <v>332</v>
      </c>
      <c r="D225" s="34" t="s">
        <v>333</v>
      </c>
      <c r="E225" s="34" t="s">
        <v>187</v>
      </c>
      <c r="F225" s="34">
        <v>40</v>
      </c>
      <c r="G225" s="75">
        <f>'Basic Rates'!E66</f>
        <v>3.5</v>
      </c>
      <c r="H225" s="38">
        <f t="shared" si="9"/>
        <v>140</v>
      </c>
    </row>
    <row r="226" ht="20.1" customHeight="1" spans="2:8">
      <c r="B226" s="34">
        <v>1.07000005245209</v>
      </c>
      <c r="C226" s="36" t="s">
        <v>36</v>
      </c>
      <c r="D226" s="34" t="s">
        <v>525</v>
      </c>
      <c r="E226" s="34" t="s">
        <v>173</v>
      </c>
      <c r="F226" s="34">
        <v>100</v>
      </c>
      <c r="G226" s="75">
        <f>'Basic Rates'!E161</f>
        <v>0.3</v>
      </c>
      <c r="H226" s="38">
        <f t="shared" si="9"/>
        <v>30</v>
      </c>
    </row>
    <row r="227" ht="20.1" customHeight="1" spans="2:8">
      <c r="B227" s="34">
        <v>1.08000004291534</v>
      </c>
      <c r="C227" s="36" t="s">
        <v>717</v>
      </c>
      <c r="D227" s="34" t="s">
        <v>209</v>
      </c>
      <c r="E227" s="34" t="s">
        <v>175</v>
      </c>
      <c r="F227" s="34">
        <v>0.5</v>
      </c>
      <c r="G227" s="75">
        <f>'Basic Rates'!J10</f>
        <v>2300</v>
      </c>
      <c r="H227" s="38">
        <f t="shared" si="9"/>
        <v>1150</v>
      </c>
    </row>
    <row r="228" ht="20.1" customHeight="1" spans="2:10">
      <c r="B228" s="61"/>
      <c r="C228" s="61"/>
      <c r="D228" s="39" t="s">
        <v>579</v>
      </c>
      <c r="E228" s="40">
        <f>$F$217</f>
        <v>50</v>
      </c>
      <c r="F228" s="40" t="str">
        <f>$G$217</f>
        <v>L.ft</v>
      </c>
      <c r="G228" s="41"/>
      <c r="H228" s="38">
        <f>SUM(H219:H227)</f>
        <v>54223.25</v>
      </c>
      <c r="I228" s="41" t="s">
        <v>739</v>
      </c>
      <c r="J228" s="38">
        <f>H228</f>
        <v>54223.25</v>
      </c>
    </row>
    <row r="229" ht="20.1" customHeight="1" spans="2:10">
      <c r="B229" s="61"/>
      <c r="C229" s="61"/>
      <c r="D229" s="39" t="s">
        <v>580</v>
      </c>
      <c r="E229" s="40" t="str">
        <f>$G$217</f>
        <v>L.ft</v>
      </c>
      <c r="F229" s="40"/>
      <c r="G229" s="41"/>
      <c r="H229" s="38">
        <f>H228/F217</f>
        <v>1084.465</v>
      </c>
      <c r="I229" s="41" t="s">
        <v>731</v>
      </c>
      <c r="J229" s="38">
        <f>J228/I217</f>
        <v>108446.5</v>
      </c>
    </row>
    <row r="230" ht="20.1" customHeight="1" spans="1:10">
      <c r="A230" s="42"/>
      <c r="B230" s="43"/>
      <c r="C230" s="43"/>
      <c r="D230" s="44" t="s">
        <v>581</v>
      </c>
      <c r="E230" s="45"/>
      <c r="F230" s="45"/>
      <c r="G230" s="46" t="s">
        <v>732</v>
      </c>
      <c r="H230" s="47">
        <f>ROUND(H229,-1)</f>
        <v>1080</v>
      </c>
      <c r="I230" s="46" t="s">
        <v>595</v>
      </c>
      <c r="J230" s="47">
        <f>ROUND(J229,-1)</f>
        <v>108450</v>
      </c>
    </row>
    <row r="231" ht="20.1" customHeight="1" spans="1:10">
      <c r="A231" s="42"/>
      <c r="B231" s="43"/>
      <c r="C231" s="43"/>
      <c r="D231" s="44" t="s">
        <v>581</v>
      </c>
      <c r="E231" s="45"/>
      <c r="F231" s="45"/>
      <c r="G231" s="46" t="s">
        <v>720</v>
      </c>
      <c r="H231" s="47">
        <f>H230*3.28</f>
        <v>3542.4</v>
      </c>
      <c r="I231" s="46" t="s">
        <v>597</v>
      </c>
      <c r="J231" s="47">
        <f>J230/2.83</f>
        <v>38321.554770318</v>
      </c>
    </row>
    <row r="232" s="4" customFormat="1" ht="20.1" customHeight="1" spans="1:10">
      <c r="A232" s="42"/>
      <c r="B232" s="42"/>
      <c r="D232" s="48" t="s">
        <v>721</v>
      </c>
      <c r="E232" s="49"/>
      <c r="F232" s="49"/>
      <c r="G232" s="46" t="s">
        <v>720</v>
      </c>
      <c r="H232" s="47">
        <f>H231</f>
        <v>3542.4</v>
      </c>
      <c r="I232" s="46" t="s">
        <v>597</v>
      </c>
      <c r="J232" s="47">
        <f>J231</f>
        <v>38321.554770318</v>
      </c>
    </row>
    <row r="233" s="4" customFormat="1" ht="20.1" customHeight="1" spans="1:10">
      <c r="A233" s="42"/>
      <c r="B233" s="42"/>
      <c r="D233" s="48" t="s">
        <v>722</v>
      </c>
      <c r="E233" s="49"/>
      <c r="F233" s="49"/>
      <c r="G233" s="46" t="s">
        <v>720</v>
      </c>
      <c r="H233" s="47">
        <f>H232*1.1</f>
        <v>3896.64</v>
      </c>
      <c r="I233" s="46" t="s">
        <v>597</v>
      </c>
      <c r="J233" s="47">
        <f>J232*1.1</f>
        <v>42153.7102473498</v>
      </c>
    </row>
    <row r="234" s="4" customFormat="1" ht="20.1" customHeight="1" spans="1:10">
      <c r="A234" s="42"/>
      <c r="B234" s="42"/>
      <c r="D234" s="48" t="s">
        <v>723</v>
      </c>
      <c r="E234" s="49"/>
      <c r="F234" s="49"/>
      <c r="G234" s="46" t="s">
        <v>720</v>
      </c>
      <c r="H234" s="47">
        <f>H233*1.1</f>
        <v>4286.304</v>
      </c>
      <c r="I234" s="46" t="s">
        <v>597</v>
      </c>
      <c r="J234" s="47">
        <f>J233*1.1</f>
        <v>46369.0812720848</v>
      </c>
    </row>
    <row r="235" s="4" customFormat="1" ht="20.1" customHeight="1" spans="1:10">
      <c r="A235" s="42"/>
      <c r="B235" s="42"/>
      <c r="D235" s="48" t="s">
        <v>724</v>
      </c>
      <c r="E235" s="49"/>
      <c r="F235" s="49"/>
      <c r="G235" s="46" t="s">
        <v>720</v>
      </c>
      <c r="H235" s="47">
        <f>H234*1.1</f>
        <v>4714.9344</v>
      </c>
      <c r="I235" s="46" t="s">
        <v>597</v>
      </c>
      <c r="J235" s="47">
        <f>J234*1.1</f>
        <v>51005.9893992933</v>
      </c>
    </row>
    <row r="236" s="1" customFormat="1" ht="20.45" customHeight="1" spans="1:10">
      <c r="A236" s="62"/>
      <c r="B236" s="63"/>
      <c r="C236" s="63"/>
      <c r="D236" s="64"/>
      <c r="E236" s="65"/>
      <c r="F236" s="65"/>
      <c r="G236" s="66"/>
      <c r="H236" s="67"/>
      <c r="J236" s="28"/>
    </row>
    <row r="237" ht="20.45" customHeight="1" spans="1:8">
      <c r="A237" s="29" t="s">
        <v>740</v>
      </c>
      <c r="B237" s="29"/>
      <c r="C237" s="30" t="s">
        <v>741</v>
      </c>
      <c r="D237" s="30"/>
      <c r="E237" s="30"/>
      <c r="F237" s="30"/>
      <c r="G237" s="30"/>
      <c r="H237" s="30"/>
    </row>
    <row r="238" ht="18" customHeight="1" spans="1:10">
      <c r="A238" s="3"/>
      <c r="B238" s="3"/>
      <c r="C238" s="3"/>
      <c r="D238" s="31"/>
      <c r="E238" s="32" t="s">
        <v>570</v>
      </c>
      <c r="F238" s="31">
        <v>40</v>
      </c>
      <c r="G238" s="32" t="s">
        <v>308</v>
      </c>
      <c r="H238" s="215" t="s">
        <v>727</v>
      </c>
      <c r="I238" s="218">
        <v>0.51</v>
      </c>
      <c r="J238" s="215" t="s">
        <v>728</v>
      </c>
    </row>
    <row r="239" s="3" customFormat="1" ht="18" customHeight="1" spans="1:10">
      <c r="A239" s="6"/>
      <c r="B239" s="34" t="s">
        <v>194</v>
      </c>
      <c r="C239" s="34" t="s">
        <v>573</v>
      </c>
      <c r="D239" s="34" t="s">
        <v>574</v>
      </c>
      <c r="E239" s="34" t="s">
        <v>6</v>
      </c>
      <c r="F239" s="34" t="s">
        <v>575</v>
      </c>
      <c r="G239" s="34" t="s">
        <v>576</v>
      </c>
      <c r="H239" s="35" t="s">
        <v>577</v>
      </c>
      <c r="J239" s="209"/>
    </row>
    <row r="240" ht="20.1" customHeight="1" spans="2:8">
      <c r="B240" s="34">
        <v>1.00999999046326</v>
      </c>
      <c r="C240" s="36" t="s">
        <v>700</v>
      </c>
      <c r="D240" s="34" t="s">
        <v>699</v>
      </c>
      <c r="E240" s="34" t="s">
        <v>638</v>
      </c>
      <c r="F240" s="34">
        <v>0.51</v>
      </c>
      <c r="G240" s="75">
        <f>'05'!H71</f>
        <v>69530</v>
      </c>
      <c r="H240" s="38">
        <f>G240*F240</f>
        <v>35460.3</v>
      </c>
    </row>
    <row r="241" ht="20.45" customHeight="1" spans="2:8">
      <c r="B241" s="34"/>
      <c r="C241" s="36" t="s">
        <v>715</v>
      </c>
      <c r="D241" s="34"/>
      <c r="E241" s="34"/>
      <c r="F241" s="34"/>
      <c r="G241" s="75"/>
      <c r="H241" s="38">
        <f>H240*0.05</f>
        <v>1773.015</v>
      </c>
    </row>
    <row r="242" ht="20.1" customHeight="1" spans="2:8">
      <c r="B242" s="34">
        <v>1.02499997615814</v>
      </c>
      <c r="C242" s="36" t="s">
        <v>183</v>
      </c>
      <c r="D242" s="34" t="s">
        <v>184</v>
      </c>
      <c r="E242" s="34" t="s">
        <v>175</v>
      </c>
      <c r="F242" s="34">
        <v>0.5</v>
      </c>
      <c r="G242" s="75">
        <f>'Basic Rates'!O5</f>
        <v>2500</v>
      </c>
      <c r="H242" s="38">
        <f t="shared" ref="H242:H248" si="10">G242*F242</f>
        <v>1250</v>
      </c>
    </row>
    <row r="243" ht="20.1" customHeight="1" spans="2:8">
      <c r="B243" s="34">
        <v>1.02999997138977</v>
      </c>
      <c r="C243" s="36" t="s">
        <v>217</v>
      </c>
      <c r="D243" s="34" t="s">
        <v>218</v>
      </c>
      <c r="E243" s="34" t="s">
        <v>175</v>
      </c>
      <c r="F243" s="34">
        <v>0.5</v>
      </c>
      <c r="G243" s="75">
        <f>'Basic Rates'!J6</f>
        <v>3500</v>
      </c>
      <c r="H243" s="38">
        <f t="shared" si="10"/>
        <v>1750</v>
      </c>
    </row>
    <row r="244" ht="20.1" customHeight="1" spans="2:8">
      <c r="B244" s="34">
        <v>1.03999996185303</v>
      </c>
      <c r="C244" s="36" t="s">
        <v>208</v>
      </c>
      <c r="D244" s="34" t="s">
        <v>209</v>
      </c>
      <c r="E244" s="34" t="s">
        <v>175</v>
      </c>
      <c r="F244" s="34">
        <v>1.5</v>
      </c>
      <c r="G244" s="75">
        <f>'Basic Rates'!J10</f>
        <v>2300</v>
      </c>
      <c r="H244" s="38">
        <f t="shared" si="10"/>
        <v>3450</v>
      </c>
    </row>
    <row r="245" ht="20.1" customHeight="1" spans="2:8">
      <c r="B245" s="34">
        <v>1.04999995231628</v>
      </c>
      <c r="C245" s="36" t="s">
        <v>716</v>
      </c>
      <c r="D245" s="34" t="s">
        <v>196</v>
      </c>
      <c r="E245" s="34" t="s">
        <v>175</v>
      </c>
      <c r="F245" s="34">
        <v>0.5</v>
      </c>
      <c r="G245" s="75">
        <f>'Basic Rates'!$J$7</f>
        <v>3500</v>
      </c>
      <c r="H245" s="38">
        <f t="shared" si="10"/>
        <v>1750</v>
      </c>
    </row>
    <row r="246" ht="20.1" customHeight="1" spans="2:8">
      <c r="B246" s="34">
        <v>1.05999994277954</v>
      </c>
      <c r="C246" s="36" t="s">
        <v>332</v>
      </c>
      <c r="D246" s="34" t="s">
        <v>333</v>
      </c>
      <c r="E246" s="34" t="s">
        <v>187</v>
      </c>
      <c r="F246" s="34">
        <v>45</v>
      </c>
      <c r="G246" s="75">
        <f>'Basic Rates'!E66</f>
        <v>3.5</v>
      </c>
      <c r="H246" s="38">
        <f t="shared" si="10"/>
        <v>157.5</v>
      </c>
    </row>
    <row r="247" ht="20.1" customHeight="1" spans="2:8">
      <c r="B247" s="34">
        <v>1.07000005245209</v>
      </c>
      <c r="C247" s="36" t="s">
        <v>36</v>
      </c>
      <c r="D247" s="34" t="s">
        <v>525</v>
      </c>
      <c r="E247" s="34" t="s">
        <v>173</v>
      </c>
      <c r="F247" s="34">
        <v>100</v>
      </c>
      <c r="G247" s="75">
        <f>'Basic Rates'!E161</f>
        <v>0.3</v>
      </c>
      <c r="H247" s="38">
        <f t="shared" si="10"/>
        <v>30</v>
      </c>
    </row>
    <row r="248" ht="20.1" customHeight="1" spans="2:8">
      <c r="B248" s="34">
        <v>1.08000004291534</v>
      </c>
      <c r="C248" s="36" t="s">
        <v>717</v>
      </c>
      <c r="D248" s="34" t="s">
        <v>209</v>
      </c>
      <c r="E248" s="34" t="s">
        <v>175</v>
      </c>
      <c r="F248" s="34">
        <v>0.5</v>
      </c>
      <c r="G248" s="75">
        <f>'Basic Rates'!J10</f>
        <v>2300</v>
      </c>
      <c r="H248" s="38">
        <f t="shared" si="10"/>
        <v>1150</v>
      </c>
    </row>
    <row r="249" ht="20.1" customHeight="1" spans="2:10">
      <c r="B249" s="61"/>
      <c r="C249" s="61"/>
      <c r="D249" s="39" t="s">
        <v>579</v>
      </c>
      <c r="E249" s="40">
        <f>$F$238</f>
        <v>40</v>
      </c>
      <c r="F249" s="40" t="str">
        <f>$G$238</f>
        <v>L.ft</v>
      </c>
      <c r="G249" s="41"/>
      <c r="H249" s="38">
        <f>SUM(H240:H248)</f>
        <v>46770.815</v>
      </c>
      <c r="I249" s="41" t="s">
        <v>742</v>
      </c>
      <c r="J249" s="38">
        <f>H249</f>
        <v>46770.815</v>
      </c>
    </row>
    <row r="250" ht="20.1" customHeight="1" spans="2:10">
      <c r="B250" s="61"/>
      <c r="C250" s="61"/>
      <c r="D250" s="39" t="s">
        <v>580</v>
      </c>
      <c r="E250" s="40" t="str">
        <f>$G$238</f>
        <v>L.ft</v>
      </c>
      <c r="F250" s="40"/>
      <c r="G250" s="41"/>
      <c r="H250" s="38">
        <f>H249/F238</f>
        <v>1169.270375</v>
      </c>
      <c r="I250" s="41" t="s">
        <v>731</v>
      </c>
      <c r="J250" s="38">
        <f>J249/I238</f>
        <v>91707.4803921569</v>
      </c>
    </row>
    <row r="251" ht="20.1" customHeight="1" spans="1:10">
      <c r="A251" s="42"/>
      <c r="B251" s="43"/>
      <c r="C251" s="43"/>
      <c r="D251" s="44" t="s">
        <v>581</v>
      </c>
      <c r="E251" s="45"/>
      <c r="F251" s="45"/>
      <c r="G251" s="46" t="s">
        <v>732</v>
      </c>
      <c r="H251" s="47">
        <f>ROUND(H250,-1)</f>
        <v>1170</v>
      </c>
      <c r="I251" s="46" t="s">
        <v>595</v>
      </c>
      <c r="J251" s="47">
        <f>ROUND(J250,-1)</f>
        <v>91710</v>
      </c>
    </row>
    <row r="252" ht="20.1" customHeight="1" spans="1:10">
      <c r="A252" s="42"/>
      <c r="B252" s="43"/>
      <c r="C252" s="43"/>
      <c r="D252" s="44" t="s">
        <v>581</v>
      </c>
      <c r="E252" s="45"/>
      <c r="F252" s="45"/>
      <c r="G252" s="46" t="s">
        <v>720</v>
      </c>
      <c r="H252" s="47">
        <f>H251*3.28</f>
        <v>3837.6</v>
      </c>
      <c r="I252" s="46" t="s">
        <v>597</v>
      </c>
      <c r="J252" s="47">
        <f>J251/2.83</f>
        <v>32406.3604240283</v>
      </c>
    </row>
    <row r="253" s="4" customFormat="1" ht="20.1" customHeight="1" spans="1:10">
      <c r="A253" s="42"/>
      <c r="B253" s="42"/>
      <c r="D253" s="48" t="s">
        <v>721</v>
      </c>
      <c r="E253" s="49"/>
      <c r="F253" s="49"/>
      <c r="G253" s="46" t="s">
        <v>720</v>
      </c>
      <c r="H253" s="47">
        <f>H252</f>
        <v>3837.6</v>
      </c>
      <c r="I253" s="46" t="s">
        <v>597</v>
      </c>
      <c r="J253" s="47">
        <f>J252</f>
        <v>32406.3604240283</v>
      </c>
    </row>
    <row r="254" s="4" customFormat="1" ht="20.1" customHeight="1" spans="1:10">
      <c r="A254" s="42"/>
      <c r="B254" s="42"/>
      <c r="D254" s="48" t="s">
        <v>722</v>
      </c>
      <c r="E254" s="49"/>
      <c r="F254" s="49"/>
      <c r="G254" s="46" t="s">
        <v>720</v>
      </c>
      <c r="H254" s="47">
        <f>H253*1.1</f>
        <v>4221.36</v>
      </c>
      <c r="I254" s="46" t="s">
        <v>597</v>
      </c>
      <c r="J254" s="47">
        <f>J253*1.1</f>
        <v>35646.9964664311</v>
      </c>
    </row>
    <row r="255" s="4" customFormat="1" ht="20.1" customHeight="1" spans="1:10">
      <c r="A255" s="42"/>
      <c r="B255" s="42"/>
      <c r="D255" s="48" t="s">
        <v>723</v>
      </c>
      <c r="E255" s="49"/>
      <c r="F255" s="49"/>
      <c r="G255" s="46" t="s">
        <v>720</v>
      </c>
      <c r="H255" s="47">
        <f>H254*1.1</f>
        <v>4643.496</v>
      </c>
      <c r="I255" s="46" t="s">
        <v>597</v>
      </c>
      <c r="J255" s="47">
        <f>J254*1.1</f>
        <v>39211.6961130742</v>
      </c>
    </row>
    <row r="256" s="4" customFormat="1" ht="20.1" customHeight="1" spans="1:10">
      <c r="A256" s="42"/>
      <c r="B256" s="42"/>
      <c r="D256" s="48" t="s">
        <v>724</v>
      </c>
      <c r="E256" s="49"/>
      <c r="F256" s="49"/>
      <c r="G256" s="46" t="s">
        <v>720</v>
      </c>
      <c r="H256" s="47">
        <f>H255*1.1</f>
        <v>5107.8456</v>
      </c>
      <c r="I256" s="46" t="s">
        <v>597</v>
      </c>
      <c r="J256" s="47">
        <f>J255*1.1</f>
        <v>43132.8657243816</v>
      </c>
    </row>
    <row r="257" s="1" customFormat="1" ht="20.45" customHeight="1" spans="1:10">
      <c r="A257" s="62"/>
      <c r="B257" s="63"/>
      <c r="C257" s="63"/>
      <c r="D257" s="64"/>
      <c r="E257" s="65"/>
      <c r="F257" s="65"/>
      <c r="G257" s="66"/>
      <c r="H257" s="67"/>
      <c r="J257" s="28"/>
    </row>
    <row r="258" s="1" customFormat="1" ht="20.25" customHeight="1" spans="1:10">
      <c r="A258" s="19"/>
      <c r="B258" s="20"/>
      <c r="C258" s="21"/>
      <c r="D258" s="22" t="s">
        <v>743</v>
      </c>
      <c r="E258" s="21"/>
      <c r="F258" s="21"/>
      <c r="G258" s="23"/>
      <c r="H258" s="24"/>
      <c r="I258" s="56"/>
      <c r="J258" s="28"/>
    </row>
    <row r="259" s="1" customFormat="1" ht="9" customHeight="1" spans="2:10">
      <c r="B259" s="25"/>
      <c r="C259" s="26"/>
      <c r="D259" s="26"/>
      <c r="E259" s="26"/>
      <c r="F259" s="26"/>
      <c r="G259" s="27"/>
      <c r="H259" s="28"/>
      <c r="J259" s="28"/>
    </row>
    <row r="260" s="2" customFormat="1" ht="24" customHeight="1" spans="1:10">
      <c r="A260" s="29" t="s">
        <v>744</v>
      </c>
      <c r="B260" s="29"/>
      <c r="C260" s="30" t="s">
        <v>745</v>
      </c>
      <c r="D260" s="30"/>
      <c r="E260" s="30"/>
      <c r="F260" s="30"/>
      <c r="G260" s="30"/>
      <c r="H260" s="30"/>
      <c r="I260" s="57"/>
      <c r="J260" s="208"/>
    </row>
    <row r="261" s="3" customFormat="1" ht="18" customHeight="1" spans="4:10">
      <c r="D261" s="31"/>
      <c r="E261" s="32" t="s">
        <v>570</v>
      </c>
      <c r="F261" s="31">
        <v>180</v>
      </c>
      <c r="G261" s="32" t="s">
        <v>308</v>
      </c>
      <c r="H261" s="215" t="s">
        <v>727</v>
      </c>
      <c r="I261" s="218">
        <v>0.45</v>
      </c>
      <c r="J261" s="215" t="s">
        <v>728</v>
      </c>
    </row>
    <row r="262" ht="15" customHeight="1" spans="2:8">
      <c r="B262" s="34" t="s">
        <v>194</v>
      </c>
      <c r="C262" s="34" t="s">
        <v>573</v>
      </c>
      <c r="D262" s="34" t="s">
        <v>574</v>
      </c>
      <c r="E262" s="34" t="s">
        <v>6</v>
      </c>
      <c r="F262" s="34" t="s">
        <v>575</v>
      </c>
      <c r="G262" s="34" t="s">
        <v>576</v>
      </c>
      <c r="H262" s="35" t="s">
        <v>577</v>
      </c>
    </row>
    <row r="263" ht="20.45" customHeight="1" spans="2:8">
      <c r="B263" s="34">
        <v>1.00999999046326</v>
      </c>
      <c r="C263" s="36" t="s">
        <v>700</v>
      </c>
      <c r="D263" s="34" t="s">
        <v>699</v>
      </c>
      <c r="E263" s="34" t="s">
        <v>638</v>
      </c>
      <c r="F263" s="34">
        <v>0.45</v>
      </c>
      <c r="G263" s="75">
        <f>'05'!H71</f>
        <v>69530</v>
      </c>
      <c r="H263" s="38">
        <f>G263*F263</f>
        <v>31288.5</v>
      </c>
    </row>
    <row r="264" ht="20.45" customHeight="1" spans="2:8">
      <c r="B264" s="34"/>
      <c r="C264" s="36" t="s">
        <v>715</v>
      </c>
      <c r="D264" s="34"/>
      <c r="E264" s="34"/>
      <c r="F264" s="34"/>
      <c r="G264" s="75"/>
      <c r="H264" s="38">
        <f>H263*0.05</f>
        <v>1564.425</v>
      </c>
    </row>
    <row r="265" ht="20.45" customHeight="1" spans="2:8">
      <c r="B265" s="34">
        <v>1.02</v>
      </c>
      <c r="C265" s="36" t="s">
        <v>183</v>
      </c>
      <c r="D265" s="34" t="s">
        <v>184</v>
      </c>
      <c r="E265" s="34" t="s">
        <v>175</v>
      </c>
      <c r="F265" s="34">
        <v>1</v>
      </c>
      <c r="G265" s="75">
        <f>'Basic Rates'!O5</f>
        <v>2500</v>
      </c>
      <c r="H265" s="38">
        <f t="shared" ref="H265:H271" si="11">G265*F265</f>
        <v>2500</v>
      </c>
    </row>
    <row r="266" ht="20.45" customHeight="1" spans="2:8">
      <c r="B266" s="34">
        <v>1.02999997138977</v>
      </c>
      <c r="C266" s="36" t="s">
        <v>217</v>
      </c>
      <c r="D266" s="34" t="s">
        <v>218</v>
      </c>
      <c r="E266" s="34" t="s">
        <v>175</v>
      </c>
      <c r="F266" s="34">
        <v>1</v>
      </c>
      <c r="G266" s="75">
        <f>'Basic Rates'!J6</f>
        <v>3500</v>
      </c>
      <c r="H266" s="38">
        <f t="shared" si="11"/>
        <v>3500</v>
      </c>
    </row>
    <row r="267" ht="20.45" customHeight="1" spans="2:8">
      <c r="B267" s="34">
        <v>1.03999996185303</v>
      </c>
      <c r="C267" s="36" t="s">
        <v>208</v>
      </c>
      <c r="D267" s="34" t="s">
        <v>209</v>
      </c>
      <c r="E267" s="34" t="s">
        <v>175</v>
      </c>
      <c r="F267" s="34">
        <v>4</v>
      </c>
      <c r="G267" s="75">
        <f>'Basic Rates'!J10</f>
        <v>2300</v>
      </c>
      <c r="H267" s="38">
        <f t="shared" si="11"/>
        <v>9200</v>
      </c>
    </row>
    <row r="268" ht="20.45" customHeight="1" spans="2:8">
      <c r="B268" s="34">
        <v>1.04999995231628</v>
      </c>
      <c r="C268" s="36" t="s">
        <v>716</v>
      </c>
      <c r="D268" s="34" t="s">
        <v>196</v>
      </c>
      <c r="E268" s="34" t="s">
        <v>175</v>
      </c>
      <c r="F268" s="34">
        <v>1</v>
      </c>
      <c r="G268" s="75">
        <f>'Basic Rates'!J7</f>
        <v>3500</v>
      </c>
      <c r="H268" s="38">
        <f t="shared" si="11"/>
        <v>3500</v>
      </c>
    </row>
    <row r="269" ht="20.45" customHeight="1" spans="2:8">
      <c r="B269" s="34">
        <v>1.05999994277954</v>
      </c>
      <c r="C269" s="36" t="s">
        <v>332</v>
      </c>
      <c r="D269" s="34" t="s">
        <v>333</v>
      </c>
      <c r="E269" s="34" t="s">
        <v>187</v>
      </c>
      <c r="F269" s="34">
        <v>90</v>
      </c>
      <c r="G269" s="75">
        <f>'Basic Rates'!E66</f>
        <v>3.5</v>
      </c>
      <c r="H269" s="38">
        <f t="shared" si="11"/>
        <v>315</v>
      </c>
    </row>
    <row r="270" ht="20.45" customHeight="1" spans="2:8">
      <c r="B270" s="34">
        <v>1.07000005245209</v>
      </c>
      <c r="C270" s="36" t="s">
        <v>36</v>
      </c>
      <c r="D270" s="34" t="s">
        <v>525</v>
      </c>
      <c r="E270" s="34" t="s">
        <v>173</v>
      </c>
      <c r="F270" s="34">
        <v>180</v>
      </c>
      <c r="G270" s="75">
        <f>'Basic Rates'!E161</f>
        <v>0.3</v>
      </c>
      <c r="H270" s="38">
        <f t="shared" si="11"/>
        <v>54</v>
      </c>
    </row>
    <row r="271" ht="20.45" customHeight="1" spans="2:8">
      <c r="B271" s="34">
        <v>1.08000004291534</v>
      </c>
      <c r="C271" s="36" t="s">
        <v>717</v>
      </c>
      <c r="D271" s="34" t="s">
        <v>209</v>
      </c>
      <c r="E271" s="34" t="s">
        <v>175</v>
      </c>
      <c r="F271" s="34">
        <v>0.5</v>
      </c>
      <c r="G271" s="75">
        <f>'Basic Rates'!J10</f>
        <v>2300</v>
      </c>
      <c r="H271" s="38">
        <f t="shared" si="11"/>
        <v>1150</v>
      </c>
    </row>
    <row r="272" ht="20.45" customHeight="1" spans="2:10">
      <c r="B272" s="61"/>
      <c r="C272" s="61"/>
      <c r="D272" s="39" t="s">
        <v>579</v>
      </c>
      <c r="E272" s="40">
        <f>$F$261</f>
        <v>180</v>
      </c>
      <c r="F272" s="40" t="str">
        <f>$G$261</f>
        <v>L.ft</v>
      </c>
      <c r="G272" s="41"/>
      <c r="H272" s="38">
        <f>SUM(H263:H271)</f>
        <v>53071.925</v>
      </c>
      <c r="I272" s="41" t="s">
        <v>730</v>
      </c>
      <c r="J272" s="38">
        <f>H272</f>
        <v>53071.925</v>
      </c>
    </row>
    <row r="273" ht="20.45" customHeight="1" spans="2:10">
      <c r="B273" s="61"/>
      <c r="C273" s="61"/>
      <c r="D273" s="39" t="s">
        <v>580</v>
      </c>
      <c r="E273" s="40" t="str">
        <f>$G$261</f>
        <v>L.ft</v>
      </c>
      <c r="F273" s="40"/>
      <c r="G273" s="41"/>
      <c r="H273" s="38">
        <f>H272/F261</f>
        <v>294.844027777778</v>
      </c>
      <c r="I273" s="41" t="s">
        <v>731</v>
      </c>
      <c r="J273" s="38">
        <f>J272/I261</f>
        <v>117937.611111111</v>
      </c>
    </row>
    <row r="274" ht="20.1" customHeight="1" spans="1:10">
      <c r="A274" s="42"/>
      <c r="B274" s="43"/>
      <c r="C274" s="43"/>
      <c r="D274" s="44" t="s">
        <v>581</v>
      </c>
      <c r="E274" s="45"/>
      <c r="F274" s="45"/>
      <c r="G274" s="46" t="s">
        <v>732</v>
      </c>
      <c r="H274" s="47">
        <f>ROUND(H273,-1)</f>
        <v>290</v>
      </c>
      <c r="I274" s="46" t="s">
        <v>595</v>
      </c>
      <c r="J274" s="47">
        <f>ROUND(J273,-1)</f>
        <v>117940</v>
      </c>
    </row>
    <row r="275" ht="20.1" customHeight="1" spans="1:10">
      <c r="A275" s="42"/>
      <c r="B275" s="43"/>
      <c r="C275" s="43"/>
      <c r="D275" s="44" t="s">
        <v>581</v>
      </c>
      <c r="E275" s="45"/>
      <c r="F275" s="45"/>
      <c r="G275" s="46" t="s">
        <v>720</v>
      </c>
      <c r="H275" s="47">
        <f>H274*3.28</f>
        <v>951.2</v>
      </c>
      <c r="I275" s="46" t="s">
        <v>597</v>
      </c>
      <c r="J275" s="47">
        <f>J274/2.83</f>
        <v>41674.9116607774</v>
      </c>
    </row>
    <row r="276" s="4" customFormat="1" ht="20.1" customHeight="1" spans="1:10">
      <c r="A276" s="42"/>
      <c r="B276" s="42"/>
      <c r="D276" s="48" t="s">
        <v>746</v>
      </c>
      <c r="E276" s="49"/>
      <c r="F276" s="49"/>
      <c r="G276" s="46" t="s">
        <v>720</v>
      </c>
      <c r="H276" s="47">
        <f>H275</f>
        <v>951.2</v>
      </c>
      <c r="I276" s="46" t="s">
        <v>597</v>
      </c>
      <c r="J276" s="47">
        <f>J275</f>
        <v>41674.9116607774</v>
      </c>
    </row>
    <row r="277" s="4" customFormat="1" ht="20.1" customHeight="1" spans="1:10">
      <c r="A277" s="42"/>
      <c r="B277" s="42"/>
      <c r="D277" s="48" t="s">
        <v>747</v>
      </c>
      <c r="E277" s="49"/>
      <c r="F277" s="49"/>
      <c r="G277" s="46" t="s">
        <v>720</v>
      </c>
      <c r="H277" s="47">
        <f>H276*1.1</f>
        <v>1046.32</v>
      </c>
      <c r="I277" s="46" t="s">
        <v>597</v>
      </c>
      <c r="J277" s="47">
        <f>J276*1.1</f>
        <v>45842.4028268551</v>
      </c>
    </row>
    <row r="278" s="4" customFormat="1" ht="20.1" customHeight="1" spans="1:10">
      <c r="A278" s="42"/>
      <c r="B278" s="42"/>
      <c r="D278" s="48" t="s">
        <v>748</v>
      </c>
      <c r="E278" s="49"/>
      <c r="F278" s="49"/>
      <c r="G278" s="46" t="s">
        <v>720</v>
      </c>
      <c r="H278" s="47">
        <f>H277*1.1</f>
        <v>1150.952</v>
      </c>
      <c r="I278" s="46" t="s">
        <v>597</v>
      </c>
      <c r="J278" s="47">
        <f>J277*1.1</f>
        <v>50426.6431095406</v>
      </c>
    </row>
    <row r="279" s="4" customFormat="1" ht="20.1" customHeight="1" spans="1:10">
      <c r="A279" s="42"/>
      <c r="B279" s="42"/>
      <c r="D279" s="48" t="s">
        <v>749</v>
      </c>
      <c r="E279" s="49"/>
      <c r="F279" s="49"/>
      <c r="G279" s="46" t="s">
        <v>720</v>
      </c>
      <c r="H279" s="47">
        <f>H278*1.1</f>
        <v>1266.0472</v>
      </c>
      <c r="I279" s="46" t="s">
        <v>597</v>
      </c>
      <c r="J279" s="47">
        <f>J278*1.1</f>
        <v>55469.3074204947</v>
      </c>
    </row>
    <row r="280" s="1" customFormat="1" ht="20.45" customHeight="1" spans="1:10">
      <c r="A280" s="62"/>
      <c r="B280" s="63"/>
      <c r="C280" s="63"/>
      <c r="D280" s="64"/>
      <c r="E280" s="65"/>
      <c r="F280" s="65"/>
      <c r="G280" s="66"/>
      <c r="H280" s="67"/>
      <c r="J280" s="28"/>
    </row>
    <row r="281" ht="20.45" customHeight="1" spans="1:8">
      <c r="A281" s="29" t="s">
        <v>750</v>
      </c>
      <c r="B281" s="29"/>
      <c r="C281" s="30" t="s">
        <v>751</v>
      </c>
      <c r="D281" s="30"/>
      <c r="E281" s="30"/>
      <c r="F281" s="30"/>
      <c r="G281" s="30"/>
      <c r="H281" s="30"/>
    </row>
    <row r="282" ht="18" customHeight="1" spans="1:10">
      <c r="A282" s="3"/>
      <c r="B282" s="3"/>
      <c r="C282" s="3"/>
      <c r="D282" s="31"/>
      <c r="E282" s="32" t="s">
        <v>570</v>
      </c>
      <c r="F282" s="31">
        <v>120</v>
      </c>
      <c r="G282" s="32" t="s">
        <v>308</v>
      </c>
      <c r="H282" s="215" t="s">
        <v>727</v>
      </c>
      <c r="I282" s="218">
        <v>0.45</v>
      </c>
      <c r="J282" s="215" t="s">
        <v>728</v>
      </c>
    </row>
    <row r="283" ht="15" customHeight="1" spans="2:8">
      <c r="B283" s="34" t="s">
        <v>194</v>
      </c>
      <c r="C283" s="34" t="s">
        <v>573</v>
      </c>
      <c r="D283" s="34" t="s">
        <v>574</v>
      </c>
      <c r="E283" s="34" t="s">
        <v>6</v>
      </c>
      <c r="F283" s="34" t="s">
        <v>575</v>
      </c>
      <c r="G283" s="34" t="s">
        <v>576</v>
      </c>
      <c r="H283" s="35" t="s">
        <v>577</v>
      </c>
    </row>
    <row r="284" ht="20.45" customHeight="1" spans="2:8">
      <c r="B284" s="34">
        <v>1.00999999046326</v>
      </c>
      <c r="C284" s="36" t="s">
        <v>700</v>
      </c>
      <c r="D284" s="34" t="s">
        <v>699</v>
      </c>
      <c r="E284" s="34" t="s">
        <v>638</v>
      </c>
      <c r="F284" s="34">
        <v>0.45</v>
      </c>
      <c r="G284" s="75">
        <f>'05'!H71</f>
        <v>69530</v>
      </c>
      <c r="H284" s="38">
        <f t="shared" ref="H284:H292" si="12">G284*F284</f>
        <v>31288.5</v>
      </c>
    </row>
    <row r="285" ht="20.45" customHeight="1" spans="2:8">
      <c r="B285" s="34"/>
      <c r="C285" s="36" t="s">
        <v>715</v>
      </c>
      <c r="D285" s="34"/>
      <c r="E285" s="34"/>
      <c r="F285" s="34"/>
      <c r="G285" s="75"/>
      <c r="H285" s="38">
        <f>H284*0.05</f>
        <v>1564.425</v>
      </c>
    </row>
    <row r="286" ht="20.45" customHeight="1" spans="2:8">
      <c r="B286" s="34">
        <v>1.02499997615814</v>
      </c>
      <c r="C286" s="36" t="s">
        <v>183</v>
      </c>
      <c r="D286" s="34" t="s">
        <v>184</v>
      </c>
      <c r="E286" s="34" t="s">
        <v>175</v>
      </c>
      <c r="F286" s="34">
        <v>1</v>
      </c>
      <c r="G286" s="75">
        <f>'Basic Rates'!O5</f>
        <v>2500</v>
      </c>
      <c r="H286" s="38">
        <f t="shared" si="12"/>
        <v>2500</v>
      </c>
    </row>
    <row r="287" ht="20.45" customHeight="1" spans="2:8">
      <c r="B287" s="34">
        <v>1.02999997138977</v>
      </c>
      <c r="C287" s="36" t="s">
        <v>217</v>
      </c>
      <c r="D287" s="34" t="s">
        <v>218</v>
      </c>
      <c r="E287" s="34" t="s">
        <v>175</v>
      </c>
      <c r="F287" s="34">
        <v>1</v>
      </c>
      <c r="G287" s="75">
        <f>'Basic Rates'!J6</f>
        <v>3500</v>
      </c>
      <c r="H287" s="38">
        <f t="shared" si="12"/>
        <v>3500</v>
      </c>
    </row>
    <row r="288" ht="20.45" customHeight="1" spans="2:8">
      <c r="B288" s="34">
        <v>1.03999996185303</v>
      </c>
      <c r="C288" s="36" t="s">
        <v>208</v>
      </c>
      <c r="D288" s="34" t="s">
        <v>209</v>
      </c>
      <c r="E288" s="34" t="s">
        <v>175</v>
      </c>
      <c r="F288" s="34">
        <v>4</v>
      </c>
      <c r="G288" s="75">
        <f>'Basic Rates'!J10</f>
        <v>2300</v>
      </c>
      <c r="H288" s="38">
        <f t="shared" si="12"/>
        <v>9200</v>
      </c>
    </row>
    <row r="289" ht="20.45" customHeight="1" spans="2:8">
      <c r="B289" s="34">
        <v>1.04999995231628</v>
      </c>
      <c r="C289" s="36" t="s">
        <v>716</v>
      </c>
      <c r="D289" s="34" t="s">
        <v>196</v>
      </c>
      <c r="E289" s="34" t="s">
        <v>175</v>
      </c>
      <c r="F289" s="34">
        <v>1</v>
      </c>
      <c r="G289" s="75">
        <f>'Basic Rates'!J7</f>
        <v>3500</v>
      </c>
      <c r="H289" s="38">
        <f t="shared" si="12"/>
        <v>3500</v>
      </c>
    </row>
    <row r="290" ht="20.45" customHeight="1" spans="2:8">
      <c r="B290" s="34">
        <v>1.05999994277954</v>
      </c>
      <c r="C290" s="36" t="s">
        <v>332</v>
      </c>
      <c r="D290" s="34" t="s">
        <v>333</v>
      </c>
      <c r="E290" s="34" t="s">
        <v>187</v>
      </c>
      <c r="F290" s="34">
        <v>75</v>
      </c>
      <c r="G290" s="75">
        <f>'Basic Rates'!E66</f>
        <v>3.5</v>
      </c>
      <c r="H290" s="38">
        <f t="shared" si="12"/>
        <v>262.5</v>
      </c>
    </row>
    <row r="291" ht="20.45" customHeight="1" spans="2:8">
      <c r="B291" s="34">
        <v>1.07000005245209</v>
      </c>
      <c r="C291" s="36" t="s">
        <v>36</v>
      </c>
      <c r="D291" s="34" t="s">
        <v>525</v>
      </c>
      <c r="E291" s="34" t="s">
        <v>173</v>
      </c>
      <c r="F291" s="34">
        <v>150</v>
      </c>
      <c r="G291" s="75">
        <f>'Basic Rates'!E161</f>
        <v>0.3</v>
      </c>
      <c r="H291" s="38">
        <f t="shared" si="12"/>
        <v>45</v>
      </c>
    </row>
    <row r="292" ht="20.45" customHeight="1" spans="2:8">
      <c r="B292" s="34">
        <v>1.08000004291534</v>
      </c>
      <c r="C292" s="36" t="s">
        <v>717</v>
      </c>
      <c r="D292" s="34" t="s">
        <v>209</v>
      </c>
      <c r="E292" s="34" t="s">
        <v>175</v>
      </c>
      <c r="F292" s="34">
        <v>0.5</v>
      </c>
      <c r="G292" s="75">
        <f>'Basic Rates'!J10</f>
        <v>2300</v>
      </c>
      <c r="H292" s="38">
        <f t="shared" si="12"/>
        <v>1150</v>
      </c>
    </row>
    <row r="293" ht="20.45" customHeight="1" spans="2:10">
      <c r="B293" s="61"/>
      <c r="C293" s="61"/>
      <c r="D293" s="39" t="s">
        <v>579</v>
      </c>
      <c r="E293" s="40">
        <f>$F$282</f>
        <v>120</v>
      </c>
      <c r="F293" s="40" t="str">
        <f>$G$282</f>
        <v>L.ft</v>
      </c>
      <c r="G293" s="41"/>
      <c r="H293" s="38">
        <f>SUM(H284:H292)</f>
        <v>53010.425</v>
      </c>
      <c r="I293" s="41" t="s">
        <v>730</v>
      </c>
      <c r="J293" s="38">
        <f>H293</f>
        <v>53010.425</v>
      </c>
    </row>
    <row r="294" ht="20.45" customHeight="1" spans="2:10">
      <c r="B294" s="61"/>
      <c r="C294" s="61"/>
      <c r="D294" s="39" t="s">
        <v>580</v>
      </c>
      <c r="E294" s="40" t="str">
        <f>$G$282</f>
        <v>L.ft</v>
      </c>
      <c r="F294" s="40"/>
      <c r="G294" s="41"/>
      <c r="H294" s="38">
        <f>H293/F282</f>
        <v>441.753541666667</v>
      </c>
      <c r="I294" s="41" t="s">
        <v>731</v>
      </c>
      <c r="J294" s="38">
        <f>J293/I282</f>
        <v>117800.944444444</v>
      </c>
    </row>
    <row r="295" ht="20.1" customHeight="1" spans="1:10">
      <c r="A295" s="42"/>
      <c r="B295" s="43"/>
      <c r="C295" s="43"/>
      <c r="D295" s="44" t="s">
        <v>581</v>
      </c>
      <c r="E295" s="45"/>
      <c r="F295" s="45"/>
      <c r="G295" s="46" t="s">
        <v>732</v>
      </c>
      <c r="H295" s="47">
        <f>ROUND(H294,-1)</f>
        <v>440</v>
      </c>
      <c r="I295" s="46" t="s">
        <v>595</v>
      </c>
      <c r="J295" s="47">
        <f>ROUND(J294,-1)</f>
        <v>117800</v>
      </c>
    </row>
    <row r="296" ht="20.1" customHeight="1" spans="1:10">
      <c r="A296" s="42"/>
      <c r="B296" s="43"/>
      <c r="C296" s="43"/>
      <c r="D296" s="44" t="s">
        <v>581</v>
      </c>
      <c r="E296" s="45"/>
      <c r="F296" s="45"/>
      <c r="G296" s="46" t="s">
        <v>720</v>
      </c>
      <c r="H296" s="47">
        <f>H295*3.28</f>
        <v>1443.2</v>
      </c>
      <c r="I296" s="46" t="s">
        <v>597</v>
      </c>
      <c r="J296" s="47">
        <f>J295/2.83</f>
        <v>41625.4416961131</v>
      </c>
    </row>
    <row r="297" s="4" customFormat="1" ht="20.1" customHeight="1" spans="1:10">
      <c r="A297" s="42"/>
      <c r="B297" s="42"/>
      <c r="D297" s="48" t="s">
        <v>746</v>
      </c>
      <c r="E297" s="49"/>
      <c r="F297" s="49"/>
      <c r="G297" s="46" t="s">
        <v>720</v>
      </c>
      <c r="H297" s="47">
        <f>H296</f>
        <v>1443.2</v>
      </c>
      <c r="I297" s="46" t="s">
        <v>597</v>
      </c>
      <c r="J297" s="47">
        <f>J296</f>
        <v>41625.4416961131</v>
      </c>
    </row>
    <row r="298" s="4" customFormat="1" ht="20.1" customHeight="1" spans="1:10">
      <c r="A298" s="42"/>
      <c r="B298" s="42"/>
      <c r="D298" s="48" t="s">
        <v>747</v>
      </c>
      <c r="E298" s="49"/>
      <c r="F298" s="49"/>
      <c r="G298" s="46" t="s">
        <v>720</v>
      </c>
      <c r="H298" s="47">
        <f>H297*1.1</f>
        <v>1587.52</v>
      </c>
      <c r="I298" s="46" t="s">
        <v>597</v>
      </c>
      <c r="J298" s="47">
        <f>J297*1.1</f>
        <v>45787.9858657244</v>
      </c>
    </row>
    <row r="299" s="4" customFormat="1" ht="20.1" customHeight="1" spans="1:10">
      <c r="A299" s="42"/>
      <c r="B299" s="42"/>
      <c r="D299" s="48" t="s">
        <v>748</v>
      </c>
      <c r="E299" s="49"/>
      <c r="F299" s="49"/>
      <c r="G299" s="46" t="s">
        <v>720</v>
      </c>
      <c r="H299" s="47">
        <f>H298*1.1</f>
        <v>1746.272</v>
      </c>
      <c r="I299" s="46" t="s">
        <v>597</v>
      </c>
      <c r="J299" s="47">
        <f>J298*1.1</f>
        <v>50366.7844522968</v>
      </c>
    </row>
    <row r="300" s="4" customFormat="1" ht="20.1" customHeight="1" spans="1:10">
      <c r="A300" s="42"/>
      <c r="B300" s="42"/>
      <c r="D300" s="48" t="s">
        <v>749</v>
      </c>
      <c r="E300" s="49"/>
      <c r="F300" s="49"/>
      <c r="G300" s="46" t="s">
        <v>720</v>
      </c>
      <c r="H300" s="47">
        <f>H299*1.1</f>
        <v>1920.8992</v>
      </c>
      <c r="I300" s="46" t="s">
        <v>597</v>
      </c>
      <c r="J300" s="47">
        <f>J299*1.1</f>
        <v>55403.4628975265</v>
      </c>
    </row>
    <row r="301" s="1" customFormat="1" ht="20.45" customHeight="1" spans="1:10">
      <c r="A301" s="62"/>
      <c r="B301" s="63"/>
      <c r="C301" s="63"/>
      <c r="D301" s="64"/>
      <c r="E301" s="65"/>
      <c r="F301" s="65"/>
      <c r="G301" s="66"/>
      <c r="H301" s="67"/>
      <c r="J301" s="28"/>
    </row>
    <row r="302" ht="20.45" customHeight="1" spans="1:8">
      <c r="A302" s="29" t="s">
        <v>752</v>
      </c>
      <c r="B302" s="29"/>
      <c r="C302" s="30" t="s">
        <v>753</v>
      </c>
      <c r="D302" s="30"/>
      <c r="E302" s="30"/>
      <c r="F302" s="30"/>
      <c r="G302" s="30"/>
      <c r="H302" s="30"/>
    </row>
    <row r="303" ht="18" customHeight="1" spans="1:10">
      <c r="A303" s="3"/>
      <c r="B303" s="3"/>
      <c r="C303" s="3"/>
      <c r="D303" s="31"/>
      <c r="E303" s="32" t="s">
        <v>570</v>
      </c>
      <c r="F303" s="31">
        <v>80</v>
      </c>
      <c r="G303" s="32" t="s">
        <v>308</v>
      </c>
      <c r="H303" s="215" t="s">
        <v>727</v>
      </c>
      <c r="I303" s="218">
        <v>0.45</v>
      </c>
      <c r="J303" s="215" t="s">
        <v>728</v>
      </c>
    </row>
    <row r="304" ht="15" customHeight="1" spans="2:8">
      <c r="B304" s="34" t="s">
        <v>194</v>
      </c>
      <c r="C304" s="34" t="s">
        <v>573</v>
      </c>
      <c r="D304" s="34" t="s">
        <v>574</v>
      </c>
      <c r="E304" s="34" t="s">
        <v>6</v>
      </c>
      <c r="F304" s="34" t="s">
        <v>575</v>
      </c>
      <c r="G304" s="34" t="s">
        <v>576</v>
      </c>
      <c r="H304" s="35" t="s">
        <v>577</v>
      </c>
    </row>
    <row r="305" ht="20.45" customHeight="1" spans="2:8">
      <c r="B305" s="34">
        <v>1.00999999046326</v>
      </c>
      <c r="C305" s="36" t="s">
        <v>700</v>
      </c>
      <c r="D305" s="34" t="s">
        <v>699</v>
      </c>
      <c r="E305" s="34" t="s">
        <v>638</v>
      </c>
      <c r="F305" s="34">
        <v>0.45</v>
      </c>
      <c r="G305" s="75">
        <f>H71</f>
        <v>69530</v>
      </c>
      <c r="H305" s="38">
        <f t="shared" ref="H305:H313" si="13">G305*F305</f>
        <v>31288.5</v>
      </c>
    </row>
    <row r="306" ht="20.45" customHeight="1" spans="2:8">
      <c r="B306" s="34"/>
      <c r="C306" s="36" t="s">
        <v>715</v>
      </c>
      <c r="D306" s="34"/>
      <c r="E306" s="34"/>
      <c r="F306" s="34"/>
      <c r="G306" s="75"/>
      <c r="H306" s="38">
        <f>H305*0.05</f>
        <v>1564.425</v>
      </c>
    </row>
    <row r="307" ht="20.45" customHeight="1" spans="2:8">
      <c r="B307" s="34">
        <v>1.02499997615814</v>
      </c>
      <c r="C307" s="36" t="s">
        <v>183</v>
      </c>
      <c r="D307" s="34" t="s">
        <v>184</v>
      </c>
      <c r="E307" s="34" t="s">
        <v>175</v>
      </c>
      <c r="F307" s="34">
        <v>1</v>
      </c>
      <c r="G307" s="75">
        <f>'Basic Rates'!O5</f>
        <v>2500</v>
      </c>
      <c r="H307" s="38">
        <f t="shared" si="13"/>
        <v>2500</v>
      </c>
    </row>
    <row r="308" ht="20.45" customHeight="1" spans="2:8">
      <c r="B308" s="34">
        <v>1.02999997138977</v>
      </c>
      <c r="C308" s="36" t="s">
        <v>217</v>
      </c>
      <c r="D308" s="34" t="s">
        <v>218</v>
      </c>
      <c r="E308" s="34" t="s">
        <v>175</v>
      </c>
      <c r="F308" s="34">
        <v>1</v>
      </c>
      <c r="G308" s="75">
        <f>'Basic Rates'!J12</f>
        <v>3500</v>
      </c>
      <c r="H308" s="38">
        <f t="shared" si="13"/>
        <v>3500</v>
      </c>
    </row>
    <row r="309" ht="20.45" customHeight="1" spans="2:8">
      <c r="B309" s="34">
        <v>1.03999996185303</v>
      </c>
      <c r="C309" s="36" t="s">
        <v>208</v>
      </c>
      <c r="D309" s="34" t="s">
        <v>209</v>
      </c>
      <c r="E309" s="34" t="s">
        <v>175</v>
      </c>
      <c r="F309" s="34">
        <v>4</v>
      </c>
      <c r="G309" s="75">
        <f>'Basic Rates'!J10</f>
        <v>2300</v>
      </c>
      <c r="H309" s="38">
        <f t="shared" si="13"/>
        <v>9200</v>
      </c>
    </row>
    <row r="310" ht="20.45" customHeight="1" spans="2:8">
      <c r="B310" s="34">
        <v>1.04999995231628</v>
      </c>
      <c r="C310" s="36" t="s">
        <v>716</v>
      </c>
      <c r="D310" s="34" t="s">
        <v>196</v>
      </c>
      <c r="E310" s="34" t="s">
        <v>175</v>
      </c>
      <c r="F310" s="34">
        <v>1</v>
      </c>
      <c r="G310" s="75">
        <f>'Basic Rates'!J7</f>
        <v>3500</v>
      </c>
      <c r="H310" s="38">
        <f t="shared" si="13"/>
        <v>3500</v>
      </c>
    </row>
    <row r="311" ht="20.45" customHeight="1" spans="2:8">
      <c r="B311" s="34">
        <v>1.05999994277954</v>
      </c>
      <c r="C311" s="36" t="s">
        <v>332</v>
      </c>
      <c r="D311" s="34" t="s">
        <v>333</v>
      </c>
      <c r="E311" s="34" t="s">
        <v>187</v>
      </c>
      <c r="F311" s="34">
        <v>60</v>
      </c>
      <c r="G311" s="75">
        <f>'Basic Rates'!E66</f>
        <v>3.5</v>
      </c>
      <c r="H311" s="38">
        <f t="shared" si="13"/>
        <v>210</v>
      </c>
    </row>
    <row r="312" ht="20.45" customHeight="1" spans="2:8">
      <c r="B312" s="34">
        <v>1.07000005245209</v>
      </c>
      <c r="C312" s="36" t="s">
        <v>36</v>
      </c>
      <c r="D312" s="34" t="s">
        <v>525</v>
      </c>
      <c r="E312" s="34" t="s">
        <v>173</v>
      </c>
      <c r="F312" s="34">
        <v>120</v>
      </c>
      <c r="G312" s="75">
        <f>'Basic Rates'!$E$161</f>
        <v>0.3</v>
      </c>
      <c r="H312" s="38">
        <f t="shared" si="13"/>
        <v>36</v>
      </c>
    </row>
    <row r="313" ht="20.45" customHeight="1" spans="2:8">
      <c r="B313" s="34">
        <v>1.08000004291534</v>
      </c>
      <c r="C313" s="36" t="s">
        <v>717</v>
      </c>
      <c r="D313" s="34" t="s">
        <v>209</v>
      </c>
      <c r="E313" s="34" t="s">
        <v>175</v>
      </c>
      <c r="F313" s="34">
        <v>0.5</v>
      </c>
      <c r="G313" s="75">
        <f>'Basic Rates'!J10</f>
        <v>2300</v>
      </c>
      <c r="H313" s="38">
        <f t="shared" si="13"/>
        <v>1150</v>
      </c>
    </row>
    <row r="314" ht="20.45" customHeight="1" spans="2:10">
      <c r="B314" s="61"/>
      <c r="C314" s="61"/>
      <c r="D314" s="39" t="s">
        <v>579</v>
      </c>
      <c r="E314" s="40">
        <f>$F$303</f>
        <v>80</v>
      </c>
      <c r="F314" s="40" t="str">
        <f>$G$303</f>
        <v>L.ft</v>
      </c>
      <c r="G314" s="41"/>
      <c r="H314" s="38">
        <f>SUM(H305:H313)</f>
        <v>52948.925</v>
      </c>
      <c r="I314" s="41" t="s">
        <v>730</v>
      </c>
      <c r="J314" s="38">
        <f>H314</f>
        <v>52948.925</v>
      </c>
    </row>
    <row r="315" ht="20.45" customHeight="1" spans="2:10">
      <c r="B315" s="61"/>
      <c r="C315" s="61"/>
      <c r="D315" s="39" t="s">
        <v>580</v>
      </c>
      <c r="E315" s="40" t="str">
        <f>$G$303</f>
        <v>L.ft</v>
      </c>
      <c r="F315" s="40"/>
      <c r="G315" s="41"/>
      <c r="H315" s="38">
        <f>H314/F303</f>
        <v>661.8615625</v>
      </c>
      <c r="I315" s="41" t="s">
        <v>731</v>
      </c>
      <c r="J315" s="38">
        <f>J314/I303</f>
        <v>117664.277777778</v>
      </c>
    </row>
    <row r="316" ht="20.1" customHeight="1" spans="1:10">
      <c r="A316" s="42"/>
      <c r="B316" s="43"/>
      <c r="C316" s="43"/>
      <c r="D316" s="44" t="s">
        <v>581</v>
      </c>
      <c r="E316" s="45"/>
      <c r="F316" s="45"/>
      <c r="G316" s="46" t="s">
        <v>732</v>
      </c>
      <c r="H316" s="47">
        <f>ROUND(H315,-1)</f>
        <v>660</v>
      </c>
      <c r="I316" s="46" t="s">
        <v>595</v>
      </c>
      <c r="J316" s="47">
        <f>ROUND(J315,-1)</f>
        <v>117660</v>
      </c>
    </row>
    <row r="317" ht="20.1" customHeight="1" spans="1:10">
      <c r="A317" s="42"/>
      <c r="B317" s="43"/>
      <c r="C317" s="43"/>
      <c r="D317" s="44" t="s">
        <v>581</v>
      </c>
      <c r="E317" s="45"/>
      <c r="F317" s="45"/>
      <c r="G317" s="46" t="s">
        <v>720</v>
      </c>
      <c r="H317" s="47">
        <f>H316*3.28</f>
        <v>2164.8</v>
      </c>
      <c r="I317" s="46" t="s">
        <v>597</v>
      </c>
      <c r="J317" s="47">
        <f>J316/2.83</f>
        <v>41575.9717314488</v>
      </c>
    </row>
    <row r="318" s="4" customFormat="1" ht="20.1" customHeight="1" spans="1:10">
      <c r="A318" s="42"/>
      <c r="B318" s="42"/>
      <c r="D318" s="48" t="s">
        <v>746</v>
      </c>
      <c r="E318" s="49"/>
      <c r="F318" s="49"/>
      <c r="G318" s="46" t="s">
        <v>720</v>
      </c>
      <c r="H318" s="47">
        <f>H317</f>
        <v>2164.8</v>
      </c>
      <c r="I318" s="46" t="s">
        <v>597</v>
      </c>
      <c r="J318" s="47">
        <f>J317</f>
        <v>41575.9717314488</v>
      </c>
    </row>
    <row r="319" s="4" customFormat="1" ht="20.1" customHeight="1" spans="1:10">
      <c r="A319" s="42"/>
      <c r="B319" s="42"/>
      <c r="D319" s="48" t="s">
        <v>747</v>
      </c>
      <c r="E319" s="49"/>
      <c r="F319" s="49"/>
      <c r="G319" s="46" t="s">
        <v>720</v>
      </c>
      <c r="H319" s="47">
        <f>H318*1.1</f>
        <v>2381.28</v>
      </c>
      <c r="I319" s="46" t="s">
        <v>597</v>
      </c>
      <c r="J319" s="47">
        <f>J318*1.1</f>
        <v>45733.5689045936</v>
      </c>
    </row>
    <row r="320" s="4" customFormat="1" ht="20.1" customHeight="1" spans="1:10">
      <c r="A320" s="42"/>
      <c r="B320" s="42"/>
      <c r="D320" s="48" t="s">
        <v>748</v>
      </c>
      <c r="E320" s="49"/>
      <c r="F320" s="49"/>
      <c r="G320" s="46" t="s">
        <v>720</v>
      </c>
      <c r="H320" s="47">
        <f>H319*1.1</f>
        <v>2619.408</v>
      </c>
      <c r="I320" s="46" t="s">
        <v>597</v>
      </c>
      <c r="J320" s="47">
        <f>J319*1.1</f>
        <v>50306.925795053</v>
      </c>
    </row>
    <row r="321" s="4" customFormat="1" ht="20.1" customHeight="1" spans="1:10">
      <c r="A321" s="42"/>
      <c r="B321" s="42"/>
      <c r="D321" s="48" t="s">
        <v>749</v>
      </c>
      <c r="E321" s="49"/>
      <c r="F321" s="49"/>
      <c r="G321" s="46" t="s">
        <v>720</v>
      </c>
      <c r="H321" s="47">
        <f>H320*1.1</f>
        <v>2881.3488</v>
      </c>
      <c r="I321" s="46" t="s">
        <v>597</v>
      </c>
      <c r="J321" s="47">
        <f>J320*1.1</f>
        <v>55337.6183745583</v>
      </c>
    </row>
    <row r="322" s="1" customFormat="1" ht="20.45" customHeight="1" spans="1:10">
      <c r="A322" s="62"/>
      <c r="B322" s="63"/>
      <c r="C322" s="63"/>
      <c r="D322" s="64"/>
      <c r="E322" s="65"/>
      <c r="F322" s="65"/>
      <c r="G322" s="66"/>
      <c r="H322" s="67"/>
      <c r="J322" s="28"/>
    </row>
    <row r="323" s="1" customFormat="1" ht="20.25" customHeight="1" spans="1:10">
      <c r="A323" s="19"/>
      <c r="B323" s="20"/>
      <c r="C323" s="21"/>
      <c r="D323" s="22" t="s">
        <v>754</v>
      </c>
      <c r="E323" s="21"/>
      <c r="F323" s="21"/>
      <c r="G323" s="23"/>
      <c r="H323" s="24"/>
      <c r="I323" s="56"/>
      <c r="J323" s="28"/>
    </row>
    <row r="324" s="1" customFormat="1" ht="9" customHeight="1" spans="2:10">
      <c r="B324" s="25"/>
      <c r="C324" s="26"/>
      <c r="D324" s="26"/>
      <c r="E324" s="26"/>
      <c r="F324" s="26"/>
      <c r="G324" s="27"/>
      <c r="H324" s="28"/>
      <c r="J324" s="28"/>
    </row>
    <row r="325" ht="20.45" customHeight="1" spans="1:8">
      <c r="A325" s="29" t="s">
        <v>755</v>
      </c>
      <c r="B325" s="29"/>
      <c r="C325" s="30" t="s">
        <v>756</v>
      </c>
      <c r="D325" s="30"/>
      <c r="E325" s="30"/>
      <c r="F325" s="30"/>
      <c r="G325" s="30"/>
      <c r="H325" s="30"/>
    </row>
    <row r="326" ht="18" customHeight="1" spans="1:10">
      <c r="A326" s="3"/>
      <c r="B326" s="3"/>
      <c r="C326" s="3"/>
      <c r="D326" s="31"/>
      <c r="E326" s="32" t="s">
        <v>570</v>
      </c>
      <c r="F326" s="31">
        <v>120</v>
      </c>
      <c r="G326" s="32" t="s">
        <v>187</v>
      </c>
      <c r="H326" s="215" t="s">
        <v>727</v>
      </c>
      <c r="I326" s="218">
        <v>0.5</v>
      </c>
      <c r="J326" s="215" t="s">
        <v>728</v>
      </c>
    </row>
    <row r="327" ht="15" customHeight="1" spans="2:8">
      <c r="B327" s="34" t="s">
        <v>194</v>
      </c>
      <c r="C327" s="34" t="s">
        <v>573</v>
      </c>
      <c r="D327" s="34" t="s">
        <v>574</v>
      </c>
      <c r="E327" s="34" t="s">
        <v>6</v>
      </c>
      <c r="F327" s="34" t="s">
        <v>575</v>
      </c>
      <c r="G327" s="34" t="s">
        <v>576</v>
      </c>
      <c r="H327" s="35" t="s">
        <v>577</v>
      </c>
    </row>
    <row r="328" ht="20.45" customHeight="1" spans="2:8">
      <c r="B328" s="34">
        <v>1.00999999046326</v>
      </c>
      <c r="C328" s="36" t="s">
        <v>700</v>
      </c>
      <c r="D328" s="34" t="s">
        <v>699</v>
      </c>
      <c r="E328" s="34" t="s">
        <v>638</v>
      </c>
      <c r="F328" s="34">
        <v>0.5</v>
      </c>
      <c r="G328" s="75">
        <f>'05'!H71</f>
        <v>69530</v>
      </c>
      <c r="H328" s="38">
        <f t="shared" ref="H328:H336" si="14">G328*F328</f>
        <v>34765</v>
      </c>
    </row>
    <row r="329" ht="20.45" customHeight="1" spans="2:8">
      <c r="B329" s="34"/>
      <c r="C329" s="36" t="s">
        <v>715</v>
      </c>
      <c r="D329" s="34"/>
      <c r="E329" s="34"/>
      <c r="F329" s="34"/>
      <c r="G329" s="75"/>
      <c r="H329" s="38">
        <f>H328*0.05</f>
        <v>1738.25</v>
      </c>
    </row>
    <row r="330" ht="20.45" customHeight="1" spans="2:8">
      <c r="B330" s="34">
        <v>1.02499997615814</v>
      </c>
      <c r="C330" s="36" t="s">
        <v>183</v>
      </c>
      <c r="D330" s="34" t="s">
        <v>184</v>
      </c>
      <c r="E330" s="34" t="s">
        <v>175</v>
      </c>
      <c r="F330" s="34">
        <v>0.5</v>
      </c>
      <c r="G330" s="75">
        <f>'Basic Rates'!O5</f>
        <v>2500</v>
      </c>
      <c r="H330" s="38">
        <f t="shared" si="14"/>
        <v>1250</v>
      </c>
    </row>
    <row r="331" ht="20.45" customHeight="1" spans="2:8">
      <c r="B331" s="34">
        <v>1.02999997138977</v>
      </c>
      <c r="C331" s="36" t="s">
        <v>217</v>
      </c>
      <c r="D331" s="34" t="s">
        <v>218</v>
      </c>
      <c r="E331" s="34" t="s">
        <v>175</v>
      </c>
      <c r="F331" s="34">
        <v>0.5</v>
      </c>
      <c r="G331" s="75">
        <f>'Basic Rates'!J6</f>
        <v>3500</v>
      </c>
      <c r="H331" s="38">
        <f t="shared" si="14"/>
        <v>1750</v>
      </c>
    </row>
    <row r="332" ht="20.45" customHeight="1" spans="2:8">
      <c r="B332" s="34">
        <v>1.03999996185303</v>
      </c>
      <c r="C332" s="36" t="s">
        <v>208</v>
      </c>
      <c r="D332" s="34" t="s">
        <v>209</v>
      </c>
      <c r="E332" s="34" t="s">
        <v>175</v>
      </c>
      <c r="F332" s="34">
        <v>2</v>
      </c>
      <c r="G332" s="75">
        <f>'Basic Rates'!J10</f>
        <v>2300</v>
      </c>
      <c r="H332" s="38">
        <f t="shared" si="14"/>
        <v>4600</v>
      </c>
    </row>
    <row r="333" ht="20.45" customHeight="1" spans="2:8">
      <c r="B333" s="34">
        <v>1.04999995231628</v>
      </c>
      <c r="C333" s="36" t="s">
        <v>716</v>
      </c>
      <c r="D333" s="34" t="s">
        <v>196</v>
      </c>
      <c r="E333" s="34" t="s">
        <v>175</v>
      </c>
      <c r="F333" s="34">
        <v>0.5</v>
      </c>
      <c r="G333" s="75">
        <f>'Basic Rates'!O5</f>
        <v>2500</v>
      </c>
      <c r="H333" s="38">
        <f t="shared" si="14"/>
        <v>1250</v>
      </c>
    </row>
    <row r="334" ht="20.45" customHeight="1" spans="2:8">
      <c r="B334" s="34">
        <v>1.05999994277954</v>
      </c>
      <c r="C334" s="36" t="s">
        <v>332</v>
      </c>
      <c r="D334" s="34" t="s">
        <v>333</v>
      </c>
      <c r="E334" s="34" t="s">
        <v>187</v>
      </c>
      <c r="F334" s="34">
        <v>30</v>
      </c>
      <c r="G334" s="75">
        <f>'Basic Rates'!E66</f>
        <v>3.5</v>
      </c>
      <c r="H334" s="38">
        <f t="shared" si="14"/>
        <v>105</v>
      </c>
    </row>
    <row r="335" ht="20.45" customHeight="1" spans="2:8">
      <c r="B335" s="34">
        <v>1.07000005245209</v>
      </c>
      <c r="C335" s="36" t="s">
        <v>36</v>
      </c>
      <c r="D335" s="34" t="s">
        <v>525</v>
      </c>
      <c r="E335" s="34" t="s">
        <v>173</v>
      </c>
      <c r="F335" s="34">
        <v>90</v>
      </c>
      <c r="G335" s="75">
        <f>'Basic Rates'!E161</f>
        <v>0.3</v>
      </c>
      <c r="H335" s="38">
        <f t="shared" si="14"/>
        <v>27</v>
      </c>
    </row>
    <row r="336" ht="20.45" customHeight="1" spans="2:8">
      <c r="B336" s="34">
        <v>1.08000004291534</v>
      </c>
      <c r="C336" s="36" t="s">
        <v>717</v>
      </c>
      <c r="D336" s="34" t="s">
        <v>209</v>
      </c>
      <c r="E336" s="34" t="s">
        <v>175</v>
      </c>
      <c r="F336" s="34">
        <v>0.5</v>
      </c>
      <c r="G336" s="75">
        <f>'Basic Rates'!J10</f>
        <v>2300</v>
      </c>
      <c r="H336" s="38">
        <f t="shared" si="14"/>
        <v>1150</v>
      </c>
    </row>
    <row r="337" ht="20.45" customHeight="1" spans="2:10">
      <c r="B337" s="61"/>
      <c r="C337" s="61"/>
      <c r="D337" s="39" t="s">
        <v>579</v>
      </c>
      <c r="E337" s="40">
        <f>$F$326</f>
        <v>120</v>
      </c>
      <c r="F337" s="40" t="str">
        <f>$G$326</f>
        <v>Sq.ft</v>
      </c>
      <c r="G337" s="41"/>
      <c r="H337" s="38">
        <f>SUM(H328:H336)</f>
        <v>46635.25</v>
      </c>
      <c r="I337" s="41" t="s">
        <v>739</v>
      </c>
      <c r="J337" s="38">
        <f>H337</f>
        <v>46635.25</v>
      </c>
    </row>
    <row r="338" ht="20.45" customHeight="1" spans="2:10">
      <c r="B338" s="61"/>
      <c r="C338" s="61"/>
      <c r="D338" s="39" t="s">
        <v>580</v>
      </c>
      <c r="E338" s="40" t="str">
        <f>$G$326</f>
        <v>Sq.ft</v>
      </c>
      <c r="F338" s="40"/>
      <c r="G338" s="41"/>
      <c r="H338" s="38">
        <f>H337/F326</f>
        <v>388.627083333333</v>
      </c>
      <c r="I338" s="41" t="s">
        <v>731</v>
      </c>
      <c r="J338" s="38">
        <f>J337/I326</f>
        <v>93270.5</v>
      </c>
    </row>
    <row r="339" ht="20.1" customHeight="1" spans="1:10">
      <c r="A339" s="42"/>
      <c r="B339" s="43"/>
      <c r="C339" s="43"/>
      <c r="D339" s="44" t="s">
        <v>581</v>
      </c>
      <c r="E339" s="45"/>
      <c r="F339" s="45"/>
      <c r="G339" s="46" t="s">
        <v>614</v>
      </c>
      <c r="H339" s="47">
        <f>H338</f>
        <v>388.627083333333</v>
      </c>
      <c r="I339" s="46" t="s">
        <v>595</v>
      </c>
      <c r="J339" s="47">
        <f>ROUND(J338,-1)</f>
        <v>93270</v>
      </c>
    </row>
    <row r="340" ht="20.1" customHeight="1" spans="1:10">
      <c r="A340" s="42"/>
      <c r="B340" s="43"/>
      <c r="C340" s="43"/>
      <c r="D340" s="44" t="s">
        <v>581</v>
      </c>
      <c r="E340" s="45"/>
      <c r="F340" s="45"/>
      <c r="G340" s="46" t="s">
        <v>757</v>
      </c>
      <c r="H340" s="47">
        <f>H339*100</f>
        <v>38862.7083333333</v>
      </c>
      <c r="I340" s="46" t="s">
        <v>597</v>
      </c>
      <c r="J340" s="47">
        <f>J339/2.83</f>
        <v>32957.5971731449</v>
      </c>
    </row>
    <row r="341" s="1" customFormat="1" ht="20.1" customHeight="1" spans="1:10">
      <c r="A341" s="62"/>
      <c r="B341" s="63"/>
      <c r="C341" s="63"/>
      <c r="D341" s="44" t="s">
        <v>581</v>
      </c>
      <c r="E341" s="45"/>
      <c r="F341" s="45"/>
      <c r="G341" s="46" t="s">
        <v>758</v>
      </c>
      <c r="H341" s="47">
        <f>H339*10.76</f>
        <v>4181.62741666667</v>
      </c>
      <c r="I341" s="46" t="s">
        <v>597</v>
      </c>
      <c r="J341" s="47">
        <f>J340</f>
        <v>32957.5971731449</v>
      </c>
    </row>
    <row r="342" s="4" customFormat="1" ht="20.1" customHeight="1" spans="1:10">
      <c r="A342" s="42"/>
      <c r="B342" s="42"/>
      <c r="D342" s="48" t="s">
        <v>747</v>
      </c>
      <c r="E342" s="49"/>
      <c r="F342" s="49"/>
      <c r="G342" s="46" t="s">
        <v>758</v>
      </c>
      <c r="H342" s="47">
        <f>H341</f>
        <v>4181.62741666667</v>
      </c>
      <c r="I342" s="46" t="s">
        <v>597</v>
      </c>
      <c r="J342" s="47">
        <f>J341*1.1</f>
        <v>36253.3568904594</v>
      </c>
    </row>
    <row r="343" s="4" customFormat="1" ht="20.1" customHeight="1" spans="1:10">
      <c r="A343" s="42"/>
      <c r="B343" s="42"/>
      <c r="D343" s="48" t="s">
        <v>748</v>
      </c>
      <c r="E343" s="49"/>
      <c r="F343" s="49"/>
      <c r="G343" s="46" t="s">
        <v>758</v>
      </c>
      <c r="H343" s="47">
        <f>H342*1.1</f>
        <v>4599.79015833333</v>
      </c>
      <c r="I343" s="46" t="s">
        <v>597</v>
      </c>
      <c r="J343" s="47">
        <f>J342*1.1</f>
        <v>39878.6925795053</v>
      </c>
    </row>
    <row r="344" s="4" customFormat="1" ht="20.1" customHeight="1" spans="1:13">
      <c r="A344" s="42"/>
      <c r="B344" s="42"/>
      <c r="D344" s="48" t="s">
        <v>749</v>
      </c>
      <c r="E344" s="49"/>
      <c r="F344" s="49"/>
      <c r="G344" s="46" t="s">
        <v>758</v>
      </c>
      <c r="H344" s="47">
        <f>H343*1.1</f>
        <v>5059.76917416667</v>
      </c>
      <c r="I344" s="46" t="s">
        <v>597</v>
      </c>
      <c r="J344" s="47">
        <f>J343*1.1</f>
        <v>43866.5618374558</v>
      </c>
      <c r="M344" s="4">
        <f>48480*125/100</f>
        <v>60600</v>
      </c>
    </row>
    <row r="345" s="1" customFormat="1" ht="20.45" customHeight="1" spans="1:10">
      <c r="A345" s="62"/>
      <c r="B345" s="63"/>
      <c r="C345" s="63"/>
      <c r="D345" s="64"/>
      <c r="E345" s="65"/>
      <c r="F345" s="65"/>
      <c r="G345" s="66"/>
      <c r="H345" s="67"/>
      <c r="J345" s="28"/>
    </row>
    <row r="346" ht="20.45" customHeight="1" spans="1:8">
      <c r="A346" s="29" t="s">
        <v>759</v>
      </c>
      <c r="B346" s="29"/>
      <c r="C346" s="30" t="s">
        <v>760</v>
      </c>
      <c r="D346" s="30"/>
      <c r="E346" s="30"/>
      <c r="F346" s="30"/>
      <c r="G346" s="30"/>
      <c r="H346" s="30"/>
    </row>
    <row r="347" ht="18" customHeight="1" spans="1:10">
      <c r="A347" s="3"/>
      <c r="B347" s="3"/>
      <c r="C347" s="3"/>
      <c r="D347" s="31"/>
      <c r="E347" s="32" t="s">
        <v>570</v>
      </c>
      <c r="F347" s="31">
        <v>1</v>
      </c>
      <c r="G347" s="32" t="s">
        <v>761</v>
      </c>
      <c r="H347" s="215" t="s">
        <v>727</v>
      </c>
      <c r="I347" s="218">
        <v>0.5</v>
      </c>
      <c r="J347" s="215" t="s">
        <v>728</v>
      </c>
    </row>
    <row r="348" ht="15" customHeight="1" spans="2:8">
      <c r="B348" s="34" t="s">
        <v>194</v>
      </c>
      <c r="C348" s="34" t="s">
        <v>573</v>
      </c>
      <c r="D348" s="34" t="s">
        <v>574</v>
      </c>
      <c r="E348" s="34" t="s">
        <v>6</v>
      </c>
      <c r="F348" s="34" t="s">
        <v>575</v>
      </c>
      <c r="G348" s="34" t="s">
        <v>576</v>
      </c>
      <c r="H348" s="35" t="s">
        <v>577</v>
      </c>
    </row>
    <row r="349" ht="20.45" customHeight="1" spans="2:8">
      <c r="B349" s="34">
        <v>1.00999999046326</v>
      </c>
      <c r="C349" s="36" t="s">
        <v>700</v>
      </c>
      <c r="D349" s="34" t="s">
        <v>699</v>
      </c>
      <c r="E349" s="34" t="s">
        <v>638</v>
      </c>
      <c r="F349" s="34">
        <v>0.5</v>
      </c>
      <c r="G349" s="75">
        <f>H71</f>
        <v>69530</v>
      </c>
      <c r="H349" s="38">
        <f>G349*F349</f>
        <v>34765</v>
      </c>
    </row>
    <row r="350" ht="20.45" customHeight="1" spans="2:8">
      <c r="B350" s="34"/>
      <c r="C350" s="36" t="s">
        <v>715</v>
      </c>
      <c r="D350" s="34"/>
      <c r="E350" s="34"/>
      <c r="F350" s="34"/>
      <c r="G350" s="75"/>
      <c r="H350" s="38">
        <f>H349*0.05</f>
        <v>1738.25</v>
      </c>
    </row>
    <row r="351" ht="20.45" customHeight="1" spans="2:8">
      <c r="B351" s="34">
        <v>1.02499997615814</v>
      </c>
      <c r="C351" s="36" t="s">
        <v>183</v>
      </c>
      <c r="D351" s="34" t="s">
        <v>184</v>
      </c>
      <c r="E351" s="34" t="s">
        <v>175</v>
      </c>
      <c r="F351" s="34">
        <v>0.5</v>
      </c>
      <c r="G351" s="75">
        <f>'Basic Rates'!O5</f>
        <v>2500</v>
      </c>
      <c r="H351" s="38">
        <f t="shared" ref="H351:H357" si="15">G351*F351</f>
        <v>1250</v>
      </c>
    </row>
    <row r="352" ht="20.45" customHeight="1" spans="2:8">
      <c r="B352" s="34">
        <v>1.02999997138977</v>
      </c>
      <c r="C352" s="36" t="s">
        <v>217</v>
      </c>
      <c r="D352" s="34" t="s">
        <v>218</v>
      </c>
      <c r="E352" s="34" t="s">
        <v>175</v>
      </c>
      <c r="F352" s="34">
        <v>0.5</v>
      </c>
      <c r="G352" s="75">
        <f>'Basic Rates'!J12</f>
        <v>3500</v>
      </c>
      <c r="H352" s="38">
        <f t="shared" si="15"/>
        <v>1750</v>
      </c>
    </row>
    <row r="353" ht="20.45" customHeight="1" spans="2:8">
      <c r="B353" s="34">
        <v>1.03999996185303</v>
      </c>
      <c r="C353" s="36" t="s">
        <v>208</v>
      </c>
      <c r="D353" s="34" t="s">
        <v>209</v>
      </c>
      <c r="E353" s="34" t="s">
        <v>175</v>
      </c>
      <c r="F353" s="34">
        <v>2</v>
      </c>
      <c r="G353" s="75">
        <f>'Basic Rates'!J10</f>
        <v>2300</v>
      </c>
      <c r="H353" s="38">
        <f t="shared" si="15"/>
        <v>4600</v>
      </c>
    </row>
    <row r="354" ht="20.45" customHeight="1" spans="2:8">
      <c r="B354" s="34">
        <v>1.04999995231628</v>
      </c>
      <c r="C354" s="36" t="s">
        <v>716</v>
      </c>
      <c r="D354" s="34" t="s">
        <v>196</v>
      </c>
      <c r="E354" s="34" t="s">
        <v>175</v>
      </c>
      <c r="F354" s="34">
        <v>0.5</v>
      </c>
      <c r="G354" s="75">
        <f>'Basic Rates'!J7</f>
        <v>3500</v>
      </c>
      <c r="H354" s="38">
        <f t="shared" si="15"/>
        <v>1750</v>
      </c>
    </row>
    <row r="355" ht="20.45" customHeight="1" spans="2:8">
      <c r="B355" s="34">
        <v>1.05999994277954</v>
      </c>
      <c r="C355" s="36" t="s">
        <v>332</v>
      </c>
      <c r="D355" s="34" t="s">
        <v>333</v>
      </c>
      <c r="E355" s="34" t="s">
        <v>187</v>
      </c>
      <c r="F355" s="34">
        <v>25</v>
      </c>
      <c r="G355" s="75">
        <f>'Basic Rates'!E66</f>
        <v>3.5</v>
      </c>
      <c r="H355" s="38">
        <f t="shared" si="15"/>
        <v>87.5</v>
      </c>
    </row>
    <row r="356" ht="20.45" customHeight="1" spans="2:8">
      <c r="B356" s="34">
        <v>1.07000005245209</v>
      </c>
      <c r="C356" s="36" t="s">
        <v>36</v>
      </c>
      <c r="D356" s="34" t="s">
        <v>525</v>
      </c>
      <c r="E356" s="34" t="s">
        <v>173</v>
      </c>
      <c r="F356" s="34">
        <v>90</v>
      </c>
      <c r="G356" s="75">
        <f>'Basic Rates'!E161</f>
        <v>0.3</v>
      </c>
      <c r="H356" s="38">
        <f t="shared" si="15"/>
        <v>27</v>
      </c>
    </row>
    <row r="357" ht="20.45" customHeight="1" spans="2:8">
      <c r="B357" s="34">
        <v>1.08000004291534</v>
      </c>
      <c r="C357" s="36" t="s">
        <v>717</v>
      </c>
      <c r="D357" s="34" t="s">
        <v>209</v>
      </c>
      <c r="E357" s="34" t="s">
        <v>175</v>
      </c>
      <c r="F357" s="34">
        <v>0.5</v>
      </c>
      <c r="G357" s="75">
        <f>'Basic Rates'!J10</f>
        <v>2300</v>
      </c>
      <c r="H357" s="38">
        <f t="shared" si="15"/>
        <v>1150</v>
      </c>
    </row>
    <row r="358" ht="20.45" customHeight="1" spans="2:10">
      <c r="B358" s="61"/>
      <c r="C358" s="61"/>
      <c r="D358" s="39" t="s">
        <v>579</v>
      </c>
      <c r="E358" s="40">
        <f>$F$347</f>
        <v>1</v>
      </c>
      <c r="F358" s="40" t="str">
        <f>$G$347</f>
        <v>Sq</v>
      </c>
      <c r="G358" s="41"/>
      <c r="H358" s="38">
        <f>SUM(H349:H357)</f>
        <v>47117.75</v>
      </c>
      <c r="I358" s="41" t="s">
        <v>739</v>
      </c>
      <c r="J358" s="38">
        <f>H358</f>
        <v>47117.75</v>
      </c>
    </row>
    <row r="359" ht="20.45" customHeight="1" spans="2:10">
      <c r="B359" s="61"/>
      <c r="C359" s="61"/>
      <c r="D359" s="39" t="s">
        <v>580</v>
      </c>
      <c r="E359" s="40" t="str">
        <f>$G$347</f>
        <v>Sq</v>
      </c>
      <c r="F359" s="40"/>
      <c r="G359" s="41"/>
      <c r="H359" s="38">
        <f>H358/F347</f>
        <v>47117.75</v>
      </c>
      <c r="I359" s="41" t="s">
        <v>731</v>
      </c>
      <c r="J359" s="38">
        <f>J358/I347</f>
        <v>94235.5</v>
      </c>
    </row>
    <row r="360" ht="20.1" customHeight="1" spans="1:10">
      <c r="A360" s="42"/>
      <c r="B360" s="43"/>
      <c r="C360" s="43"/>
      <c r="D360" s="44" t="s">
        <v>581</v>
      </c>
      <c r="E360" s="45"/>
      <c r="F360" s="45"/>
      <c r="G360" s="46" t="s">
        <v>757</v>
      </c>
      <c r="H360" s="47">
        <f>H359</f>
        <v>47117.75</v>
      </c>
      <c r="I360" s="46" t="s">
        <v>595</v>
      </c>
      <c r="J360" s="47">
        <f>ROUND(J359,-1)</f>
        <v>94240</v>
      </c>
    </row>
    <row r="361" ht="20.1" customHeight="1" spans="1:10">
      <c r="A361" s="42"/>
      <c r="B361" s="43"/>
      <c r="C361" s="43"/>
      <c r="D361" s="44" t="s">
        <v>581</v>
      </c>
      <c r="E361" s="45"/>
      <c r="F361" s="45"/>
      <c r="G361" s="46" t="s">
        <v>762</v>
      </c>
      <c r="H361" s="47">
        <f>H360/100</f>
        <v>471.1775</v>
      </c>
      <c r="I361" s="46" t="s">
        <v>597</v>
      </c>
      <c r="J361" s="47">
        <f>J360/2.83</f>
        <v>33300.3533568905</v>
      </c>
    </row>
    <row r="362" s="1" customFormat="1" ht="20.1" customHeight="1" spans="1:10">
      <c r="A362" s="62"/>
      <c r="B362" s="63"/>
      <c r="C362" s="63"/>
      <c r="D362" s="44" t="s">
        <v>581</v>
      </c>
      <c r="E362" s="45"/>
      <c r="F362" s="45"/>
      <c r="G362" s="46" t="s">
        <v>758</v>
      </c>
      <c r="H362" s="47">
        <f>H361*10.76</f>
        <v>5069.8699</v>
      </c>
      <c r="I362" s="46" t="s">
        <v>597</v>
      </c>
      <c r="J362" s="47">
        <f>J361</f>
        <v>33300.3533568905</v>
      </c>
    </row>
    <row r="363" s="4" customFormat="1" ht="20.1" customHeight="1" spans="1:10">
      <c r="A363" s="42"/>
      <c r="B363" s="42"/>
      <c r="D363" s="48" t="s">
        <v>747</v>
      </c>
      <c r="E363" s="49"/>
      <c r="F363" s="49"/>
      <c r="G363" s="46" t="s">
        <v>758</v>
      </c>
      <c r="H363" s="47">
        <f>H362</f>
        <v>5069.8699</v>
      </c>
      <c r="I363" s="46" t="s">
        <v>597</v>
      </c>
      <c r="J363" s="47">
        <f>J362*1.1</f>
        <v>36630.3886925795</v>
      </c>
    </row>
    <row r="364" s="4" customFormat="1" ht="20.1" customHeight="1" spans="1:10">
      <c r="A364" s="42"/>
      <c r="B364" s="42"/>
      <c r="D364" s="48" t="s">
        <v>748</v>
      </c>
      <c r="E364" s="49"/>
      <c r="F364" s="49"/>
      <c r="G364" s="46" t="s">
        <v>758</v>
      </c>
      <c r="H364" s="47">
        <f>H363*1.1</f>
        <v>5576.85689</v>
      </c>
      <c r="I364" s="46" t="s">
        <v>597</v>
      </c>
      <c r="J364" s="47">
        <f>J363*1.1</f>
        <v>40293.4275618375</v>
      </c>
    </row>
    <row r="365" s="4" customFormat="1" ht="20.1" customHeight="1" spans="1:10">
      <c r="A365" s="42"/>
      <c r="B365" s="42"/>
      <c r="D365" s="48" t="s">
        <v>749</v>
      </c>
      <c r="E365" s="49"/>
      <c r="F365" s="49"/>
      <c r="G365" s="46" t="s">
        <v>758</v>
      </c>
      <c r="H365" s="47">
        <f>H364*1.1</f>
        <v>6134.542579</v>
      </c>
      <c r="I365" s="46" t="s">
        <v>597</v>
      </c>
      <c r="J365" s="47">
        <f>J364*1.1</f>
        <v>44322.7703180212</v>
      </c>
    </row>
    <row r="366" s="1" customFormat="1" ht="20.45" customHeight="1" spans="1:10">
      <c r="A366" s="62"/>
      <c r="B366" s="63"/>
      <c r="C366" s="63"/>
      <c r="D366" s="64"/>
      <c r="E366" s="65"/>
      <c r="F366" s="65"/>
      <c r="G366" s="66"/>
      <c r="H366" s="67"/>
      <c r="J366" s="28"/>
    </row>
    <row r="367" s="1" customFormat="1" ht="20.25" customHeight="1" spans="1:10">
      <c r="A367" s="19"/>
      <c r="B367" s="20"/>
      <c r="C367" s="21"/>
      <c r="D367" s="22" t="s">
        <v>763</v>
      </c>
      <c r="E367" s="21"/>
      <c r="F367" s="21"/>
      <c r="G367" s="23"/>
      <c r="H367" s="24"/>
      <c r="I367" s="56"/>
      <c r="J367" s="28"/>
    </row>
    <row r="368" s="1" customFormat="1" ht="9" customHeight="1" spans="2:10">
      <c r="B368" s="25"/>
      <c r="C368" s="26"/>
      <c r="D368" s="26"/>
      <c r="E368" s="26"/>
      <c r="F368" s="26"/>
      <c r="G368" s="27"/>
      <c r="H368" s="28"/>
      <c r="J368" s="28"/>
    </row>
    <row r="369" ht="20.45" customHeight="1" spans="1:8">
      <c r="A369" s="29" t="s">
        <v>764</v>
      </c>
      <c r="B369" s="29"/>
      <c r="C369" s="30" t="s">
        <v>765</v>
      </c>
      <c r="D369" s="30"/>
      <c r="E369" s="30"/>
      <c r="F369" s="30"/>
      <c r="G369" s="30"/>
      <c r="H369" s="30"/>
    </row>
    <row r="370" ht="18" customHeight="1" spans="1:8">
      <c r="A370" s="3"/>
      <c r="B370" s="3"/>
      <c r="C370" s="3"/>
      <c r="D370" s="31"/>
      <c r="E370" s="32" t="s">
        <v>570</v>
      </c>
      <c r="F370" s="31">
        <v>240</v>
      </c>
      <c r="G370" s="32" t="s">
        <v>308</v>
      </c>
      <c r="H370" s="204"/>
    </row>
    <row r="371" ht="15" customHeight="1" spans="2:8">
      <c r="B371" s="34" t="s">
        <v>194</v>
      </c>
      <c r="C371" s="34" t="s">
        <v>573</v>
      </c>
      <c r="D371" s="34" t="s">
        <v>574</v>
      </c>
      <c r="E371" s="34" t="s">
        <v>6</v>
      </c>
      <c r="F371" s="34" t="s">
        <v>575</v>
      </c>
      <c r="G371" s="34" t="s">
        <v>576</v>
      </c>
      <c r="H371" s="35" t="s">
        <v>577</v>
      </c>
    </row>
    <row r="372" ht="20.45" customHeight="1" spans="2:8">
      <c r="B372" s="34">
        <v>1.00999999046326</v>
      </c>
      <c r="C372" s="36" t="s">
        <v>700</v>
      </c>
      <c r="D372" s="34" t="s">
        <v>699</v>
      </c>
      <c r="E372" s="34" t="s">
        <v>638</v>
      </c>
      <c r="F372" s="34">
        <v>0.45</v>
      </c>
      <c r="G372" s="75">
        <f>H71</f>
        <v>69530</v>
      </c>
      <c r="H372" s="38">
        <f>G372*F372</f>
        <v>31288.5</v>
      </c>
    </row>
    <row r="373" ht="20.45" customHeight="1" spans="2:8">
      <c r="B373" s="34">
        <v>1.02499997615814</v>
      </c>
      <c r="C373" s="36" t="s">
        <v>183</v>
      </c>
      <c r="D373" s="34" t="s">
        <v>184</v>
      </c>
      <c r="E373" s="34" t="s">
        <v>175</v>
      </c>
      <c r="F373" s="34">
        <v>1</v>
      </c>
      <c r="G373" s="75">
        <f>'Basic Rates'!O5</f>
        <v>2500</v>
      </c>
      <c r="H373" s="38">
        <f t="shared" ref="H373:H379" si="16">G373*F373</f>
        <v>2500</v>
      </c>
    </row>
    <row r="374" ht="20.45" customHeight="1" spans="2:8">
      <c r="B374" s="34">
        <v>1.02999997138977</v>
      </c>
      <c r="C374" s="36" t="s">
        <v>217</v>
      </c>
      <c r="D374" s="34" t="s">
        <v>218</v>
      </c>
      <c r="E374" s="34" t="s">
        <v>175</v>
      </c>
      <c r="F374" s="34">
        <v>1</v>
      </c>
      <c r="G374" s="75">
        <f>'Basic Rates'!J12</f>
        <v>3500</v>
      </c>
      <c r="H374" s="38">
        <f t="shared" si="16"/>
        <v>3500</v>
      </c>
    </row>
    <row r="375" ht="20.45" customHeight="1" spans="2:8">
      <c r="B375" s="34">
        <v>1.03999996185303</v>
      </c>
      <c r="C375" s="36" t="s">
        <v>208</v>
      </c>
      <c r="D375" s="34" t="s">
        <v>209</v>
      </c>
      <c r="E375" s="34" t="s">
        <v>175</v>
      </c>
      <c r="F375" s="34">
        <v>4</v>
      </c>
      <c r="G375" s="75">
        <f>'Basic Rates'!J10</f>
        <v>2300</v>
      </c>
      <c r="H375" s="38">
        <f t="shared" si="16"/>
        <v>9200</v>
      </c>
    </row>
    <row r="376" ht="20.45" customHeight="1" spans="2:8">
      <c r="B376" s="34">
        <v>1.04999995231628</v>
      </c>
      <c r="C376" s="36" t="s">
        <v>716</v>
      </c>
      <c r="D376" s="34" t="s">
        <v>196</v>
      </c>
      <c r="E376" s="34" t="s">
        <v>175</v>
      </c>
      <c r="F376" s="34">
        <v>1</v>
      </c>
      <c r="G376" s="75">
        <f>'Basic Rates'!J7</f>
        <v>3500</v>
      </c>
      <c r="H376" s="38">
        <f t="shared" si="16"/>
        <v>3500</v>
      </c>
    </row>
    <row r="377" ht="20.45" customHeight="1" spans="2:8">
      <c r="B377" s="34">
        <v>1.05999994277954</v>
      </c>
      <c r="C377" s="36" t="s">
        <v>332</v>
      </c>
      <c r="D377" s="34" t="s">
        <v>333</v>
      </c>
      <c r="E377" s="34" t="s">
        <v>187</v>
      </c>
      <c r="F377" s="34">
        <v>105</v>
      </c>
      <c r="G377" s="75">
        <f>'Basic Rates'!E66</f>
        <v>3.5</v>
      </c>
      <c r="H377" s="38">
        <f t="shared" si="16"/>
        <v>367.5</v>
      </c>
    </row>
    <row r="378" ht="20.45" customHeight="1" spans="2:8">
      <c r="B378" s="34">
        <v>1.07000005245209</v>
      </c>
      <c r="C378" s="36" t="s">
        <v>36</v>
      </c>
      <c r="D378" s="34" t="s">
        <v>525</v>
      </c>
      <c r="E378" s="34" t="s">
        <v>173</v>
      </c>
      <c r="F378" s="34">
        <v>90</v>
      </c>
      <c r="G378" s="75">
        <f>'Basic Rates'!E161</f>
        <v>0.3</v>
      </c>
      <c r="H378" s="38">
        <f t="shared" si="16"/>
        <v>27</v>
      </c>
    </row>
    <row r="379" ht="20.45" customHeight="1" spans="2:8">
      <c r="B379" s="34">
        <v>1.08000004291534</v>
      </c>
      <c r="C379" s="36" t="s">
        <v>717</v>
      </c>
      <c r="D379" s="34" t="s">
        <v>209</v>
      </c>
      <c r="E379" s="34" t="s">
        <v>175</v>
      </c>
      <c r="F379" s="34">
        <v>0.5</v>
      </c>
      <c r="G379" s="75">
        <f>'Basic Rates'!J10</f>
        <v>2300</v>
      </c>
      <c r="H379" s="38">
        <f t="shared" si="16"/>
        <v>1150</v>
      </c>
    </row>
    <row r="380" ht="20.45" customHeight="1" spans="2:8">
      <c r="B380" s="61"/>
      <c r="C380" s="61"/>
      <c r="D380" s="39" t="s">
        <v>579</v>
      </c>
      <c r="E380" s="40">
        <f>$F$370</f>
        <v>240</v>
      </c>
      <c r="F380" s="40" t="str">
        <f>$G$370</f>
        <v>L.ft</v>
      </c>
      <c r="G380" s="41"/>
      <c r="H380" s="38">
        <f>SUM(H372:H379)</f>
        <v>51533</v>
      </c>
    </row>
    <row r="381" ht="20.45" customHeight="1" spans="2:8">
      <c r="B381" s="61"/>
      <c r="C381" s="61"/>
      <c r="D381" s="39" t="s">
        <v>580</v>
      </c>
      <c r="E381" s="40" t="str">
        <f>$G$370</f>
        <v>L.ft</v>
      </c>
      <c r="F381" s="40"/>
      <c r="G381" s="41"/>
      <c r="H381" s="38">
        <f>H380/F370</f>
        <v>214.720833333333</v>
      </c>
    </row>
    <row r="382" ht="20.1" customHeight="1" spans="1:8">
      <c r="A382" s="42"/>
      <c r="B382" s="43"/>
      <c r="C382" s="43"/>
      <c r="D382" s="44" t="s">
        <v>581</v>
      </c>
      <c r="E382" s="45"/>
      <c r="F382" s="45"/>
      <c r="G382" s="46" t="s">
        <v>732</v>
      </c>
      <c r="H382" s="47">
        <f>ROUND(H381,-1)</f>
        <v>210</v>
      </c>
    </row>
    <row r="383" ht="20.1" customHeight="1" spans="1:8">
      <c r="A383" s="42"/>
      <c r="B383" s="43"/>
      <c r="C383" s="43"/>
      <c r="D383" s="44" t="s">
        <v>581</v>
      </c>
      <c r="E383" s="45"/>
      <c r="F383" s="45"/>
      <c r="G383" s="46" t="s">
        <v>720</v>
      </c>
      <c r="H383" s="47">
        <f>H382*3.28</f>
        <v>688.8</v>
      </c>
    </row>
    <row r="384" s="4" customFormat="1" ht="20.1" customHeight="1" spans="1:10">
      <c r="A384" s="42"/>
      <c r="B384" s="42"/>
      <c r="D384" s="48" t="s">
        <v>746</v>
      </c>
      <c r="E384" s="49"/>
      <c r="F384" s="49"/>
      <c r="G384" s="46" t="s">
        <v>720</v>
      </c>
      <c r="H384" s="47">
        <f>H383</f>
        <v>688.8</v>
      </c>
      <c r="J384" s="207"/>
    </row>
    <row r="385" s="4" customFormat="1" ht="20.1" customHeight="1" spans="1:10">
      <c r="A385" s="42"/>
      <c r="B385" s="42"/>
      <c r="D385" s="48" t="s">
        <v>747</v>
      </c>
      <c r="E385" s="49"/>
      <c r="F385" s="49"/>
      <c r="G385" s="46" t="s">
        <v>720</v>
      </c>
      <c r="H385" s="47">
        <f>H384*1.1</f>
        <v>757.68</v>
      </c>
      <c r="J385" s="207"/>
    </row>
    <row r="386" s="4" customFormat="1" ht="20.1" customHeight="1" spans="1:10">
      <c r="A386" s="42"/>
      <c r="B386" s="42"/>
      <c r="D386" s="48" t="s">
        <v>748</v>
      </c>
      <c r="E386" s="49"/>
      <c r="F386" s="49"/>
      <c r="G386" s="46" t="s">
        <v>720</v>
      </c>
      <c r="H386" s="47">
        <f>H385*1.1</f>
        <v>833.448</v>
      </c>
      <c r="J386" s="207"/>
    </row>
    <row r="387" s="4" customFormat="1" ht="20.1" customHeight="1" spans="1:10">
      <c r="A387" s="42"/>
      <c r="B387" s="42"/>
      <c r="D387" s="48" t="s">
        <v>749</v>
      </c>
      <c r="E387" s="49"/>
      <c r="F387" s="49"/>
      <c r="G387" s="46" t="s">
        <v>720</v>
      </c>
      <c r="H387" s="47">
        <f>H386*1.1</f>
        <v>916.7928</v>
      </c>
      <c r="J387" s="207"/>
    </row>
    <row r="388" s="1" customFormat="1" ht="20.45" customHeight="1" spans="1:10">
      <c r="A388" s="62"/>
      <c r="B388" s="63"/>
      <c r="C388" s="63"/>
      <c r="D388" s="64"/>
      <c r="E388" s="65"/>
      <c r="F388" s="65"/>
      <c r="G388" s="66"/>
      <c r="H388" s="67"/>
      <c r="J388" s="28"/>
    </row>
    <row r="389" ht="20.45" customHeight="1" spans="1:8">
      <c r="A389" s="29" t="s">
        <v>766</v>
      </c>
      <c r="B389" s="29"/>
      <c r="C389" s="30" t="s">
        <v>767</v>
      </c>
      <c r="D389" s="30"/>
      <c r="E389" s="30"/>
      <c r="F389" s="30"/>
      <c r="G389" s="30"/>
      <c r="H389" s="30"/>
    </row>
    <row r="390" ht="18" customHeight="1" spans="1:8">
      <c r="A390" s="3"/>
      <c r="B390" s="3"/>
      <c r="C390" s="3"/>
      <c r="D390" s="31"/>
      <c r="E390" s="32" t="s">
        <v>570</v>
      </c>
      <c r="F390" s="31">
        <v>80</v>
      </c>
      <c r="G390" s="32" t="s">
        <v>308</v>
      </c>
      <c r="H390" s="204"/>
    </row>
    <row r="391" ht="15" customHeight="1" spans="2:8">
      <c r="B391" s="34" t="s">
        <v>194</v>
      </c>
      <c r="C391" s="34" t="s">
        <v>573</v>
      </c>
      <c r="D391" s="34" t="s">
        <v>574</v>
      </c>
      <c r="E391" s="34" t="s">
        <v>6</v>
      </c>
      <c r="F391" s="34" t="s">
        <v>575</v>
      </c>
      <c r="G391" s="34" t="s">
        <v>576</v>
      </c>
      <c r="H391" s="35" t="s">
        <v>577</v>
      </c>
    </row>
    <row r="392" ht="20.45" customHeight="1" spans="2:8">
      <c r="B392" s="34">
        <v>1.00999999046326</v>
      </c>
      <c r="C392" s="36" t="s">
        <v>700</v>
      </c>
      <c r="D392" s="34" t="s">
        <v>699</v>
      </c>
      <c r="E392" s="34" t="s">
        <v>638</v>
      </c>
      <c r="F392" s="34">
        <v>0.45</v>
      </c>
      <c r="G392" s="75">
        <f>'05'!H71</f>
        <v>69530</v>
      </c>
      <c r="H392" s="38">
        <f>G392*F392</f>
        <v>31288.5</v>
      </c>
    </row>
    <row r="393" ht="20.45" customHeight="1" spans="2:8">
      <c r="B393" s="34">
        <v>1.02499997615814</v>
      </c>
      <c r="C393" s="36" t="s">
        <v>183</v>
      </c>
      <c r="D393" s="34" t="s">
        <v>184</v>
      </c>
      <c r="E393" s="34" t="s">
        <v>175</v>
      </c>
      <c r="F393" s="34">
        <v>1</v>
      </c>
      <c r="G393" s="75">
        <f>'Basic Rates'!O5</f>
        <v>2500</v>
      </c>
      <c r="H393" s="38">
        <f t="shared" ref="H393:H399" si="17">G393*F393</f>
        <v>2500</v>
      </c>
    </row>
    <row r="394" ht="20.45" customHeight="1" spans="2:8">
      <c r="B394" s="34">
        <v>1.02999997138977</v>
      </c>
      <c r="C394" s="36" t="s">
        <v>217</v>
      </c>
      <c r="D394" s="34" t="s">
        <v>218</v>
      </c>
      <c r="E394" s="34" t="s">
        <v>175</v>
      </c>
      <c r="F394" s="34">
        <v>1</v>
      </c>
      <c r="G394" s="75">
        <f>'Basic Rates'!J6</f>
        <v>3500</v>
      </c>
      <c r="H394" s="38">
        <f t="shared" si="17"/>
        <v>3500</v>
      </c>
    </row>
    <row r="395" ht="20.45" customHeight="1" spans="2:8">
      <c r="B395" s="34">
        <v>1.03999996185303</v>
      </c>
      <c r="C395" s="36" t="s">
        <v>208</v>
      </c>
      <c r="D395" s="34" t="s">
        <v>209</v>
      </c>
      <c r="E395" s="34" t="s">
        <v>175</v>
      </c>
      <c r="F395" s="34">
        <v>4</v>
      </c>
      <c r="G395" s="75">
        <f>'Basic Rates'!J10</f>
        <v>2300</v>
      </c>
      <c r="H395" s="38">
        <f t="shared" si="17"/>
        <v>9200</v>
      </c>
    </row>
    <row r="396" ht="20.45" customHeight="1" spans="2:8">
      <c r="B396" s="34">
        <v>1.04999995231628</v>
      </c>
      <c r="C396" s="36" t="s">
        <v>716</v>
      </c>
      <c r="D396" s="34" t="s">
        <v>196</v>
      </c>
      <c r="E396" s="34" t="s">
        <v>175</v>
      </c>
      <c r="F396" s="34">
        <v>1</v>
      </c>
      <c r="G396" s="75">
        <f>'Basic Rates'!J6</f>
        <v>3500</v>
      </c>
      <c r="H396" s="38">
        <f t="shared" si="17"/>
        <v>3500</v>
      </c>
    </row>
    <row r="397" ht="20.45" customHeight="1" spans="2:8">
      <c r="B397" s="34">
        <v>1.05999994277954</v>
      </c>
      <c r="C397" s="36" t="s">
        <v>332</v>
      </c>
      <c r="D397" s="34" t="s">
        <v>333</v>
      </c>
      <c r="E397" s="34" t="s">
        <v>187</v>
      </c>
      <c r="F397" s="34">
        <v>60</v>
      </c>
      <c r="G397" s="75">
        <f>'Basic Rates'!E66</f>
        <v>3.5</v>
      </c>
      <c r="H397" s="38">
        <f t="shared" si="17"/>
        <v>210</v>
      </c>
    </row>
    <row r="398" ht="20.45" customHeight="1" spans="2:8">
      <c r="B398" s="34">
        <v>1.07000005245209</v>
      </c>
      <c r="C398" s="36" t="s">
        <v>36</v>
      </c>
      <c r="D398" s="34" t="s">
        <v>525</v>
      </c>
      <c r="E398" s="34" t="s">
        <v>173</v>
      </c>
      <c r="F398" s="34">
        <v>90</v>
      </c>
      <c r="G398" s="75">
        <f>'Basic Rates'!E161</f>
        <v>0.3</v>
      </c>
      <c r="H398" s="38">
        <f t="shared" si="17"/>
        <v>27</v>
      </c>
    </row>
    <row r="399" ht="20.45" customHeight="1" spans="2:8">
      <c r="B399" s="34">
        <v>1.08000004291534</v>
      </c>
      <c r="C399" s="36" t="s">
        <v>717</v>
      </c>
      <c r="D399" s="34" t="s">
        <v>209</v>
      </c>
      <c r="E399" s="34" t="s">
        <v>175</v>
      </c>
      <c r="F399" s="34">
        <v>0.5</v>
      </c>
      <c r="G399" s="75">
        <f>'Basic Rates'!J10</f>
        <v>2300</v>
      </c>
      <c r="H399" s="38">
        <f t="shared" si="17"/>
        <v>1150</v>
      </c>
    </row>
    <row r="400" ht="20.45" customHeight="1" spans="2:8">
      <c r="B400" s="61"/>
      <c r="C400" s="61"/>
      <c r="D400" s="39" t="s">
        <v>579</v>
      </c>
      <c r="E400" s="40">
        <f>$F$390</f>
        <v>80</v>
      </c>
      <c r="F400" s="40" t="str">
        <f>$G$390</f>
        <v>L.ft</v>
      </c>
      <c r="G400" s="41"/>
      <c r="H400" s="38">
        <f>SUM(H392:H399)</f>
        <v>51375.5</v>
      </c>
    </row>
    <row r="401" ht="20.45" customHeight="1" spans="2:8">
      <c r="B401" s="61"/>
      <c r="C401" s="61"/>
      <c r="D401" s="39" t="s">
        <v>580</v>
      </c>
      <c r="E401" s="40" t="str">
        <f>$G$390</f>
        <v>L.ft</v>
      </c>
      <c r="F401" s="40"/>
      <c r="G401" s="41"/>
      <c r="H401" s="38">
        <f>H400/F390</f>
        <v>642.19375</v>
      </c>
    </row>
    <row r="402" ht="20.1" customHeight="1" spans="1:8">
      <c r="A402" s="42"/>
      <c r="B402" s="43"/>
      <c r="C402" s="43"/>
      <c r="D402" s="44" t="s">
        <v>581</v>
      </c>
      <c r="E402" s="45"/>
      <c r="F402" s="45"/>
      <c r="G402" s="46" t="s">
        <v>732</v>
      </c>
      <c r="H402" s="47">
        <f>ROUND(H401,-1)</f>
        <v>640</v>
      </c>
    </row>
    <row r="403" ht="20.1" customHeight="1" spans="1:8">
      <c r="A403" s="42"/>
      <c r="B403" s="43"/>
      <c r="C403" s="43"/>
      <c r="D403" s="44" t="s">
        <v>581</v>
      </c>
      <c r="E403" s="45"/>
      <c r="F403" s="45"/>
      <c r="G403" s="46" t="s">
        <v>720</v>
      </c>
      <c r="H403" s="47">
        <f>H402*3.28</f>
        <v>2099.2</v>
      </c>
    </row>
    <row r="404" s="4" customFormat="1" ht="20.1" customHeight="1" spans="1:10">
      <c r="A404" s="42"/>
      <c r="B404" s="42"/>
      <c r="D404" s="48" t="s">
        <v>746</v>
      </c>
      <c r="E404" s="49"/>
      <c r="F404" s="49"/>
      <c r="G404" s="46" t="s">
        <v>720</v>
      </c>
      <c r="H404" s="47">
        <f>H403</f>
        <v>2099.2</v>
      </c>
      <c r="J404" s="207"/>
    </row>
    <row r="405" s="4" customFormat="1" ht="20.1" customHeight="1" spans="1:10">
      <c r="A405" s="42"/>
      <c r="B405" s="42"/>
      <c r="D405" s="48" t="s">
        <v>747</v>
      </c>
      <c r="E405" s="49"/>
      <c r="F405" s="49"/>
      <c r="G405" s="46" t="s">
        <v>720</v>
      </c>
      <c r="H405" s="47">
        <f>H404*1.1</f>
        <v>2309.12</v>
      </c>
      <c r="J405" s="207"/>
    </row>
    <row r="406" s="4" customFormat="1" ht="20.1" customHeight="1" spans="1:10">
      <c r="A406" s="42"/>
      <c r="B406" s="42"/>
      <c r="D406" s="48" t="s">
        <v>748</v>
      </c>
      <c r="E406" s="49"/>
      <c r="F406" s="49"/>
      <c r="G406" s="46" t="s">
        <v>720</v>
      </c>
      <c r="H406" s="47">
        <f>H405*1.1</f>
        <v>2540.032</v>
      </c>
      <c r="J406" s="207"/>
    </row>
    <row r="407" s="4" customFormat="1" ht="20.1" customHeight="1" spans="1:10">
      <c r="A407" s="42"/>
      <c r="B407" s="42"/>
      <c r="D407" s="48" t="s">
        <v>749</v>
      </c>
      <c r="E407" s="49"/>
      <c r="F407" s="49"/>
      <c r="G407" s="46" t="s">
        <v>720</v>
      </c>
      <c r="H407" s="47">
        <f>H406*1.1</f>
        <v>2794.0352</v>
      </c>
      <c r="J407" s="207"/>
    </row>
    <row r="408" s="1" customFormat="1" ht="20.45" customHeight="1" spans="1:10">
      <c r="A408" s="62"/>
      <c r="B408" s="63"/>
      <c r="C408" s="63"/>
      <c r="D408" s="64"/>
      <c r="E408" s="65"/>
      <c r="F408" s="65"/>
      <c r="G408" s="66"/>
      <c r="H408" s="67"/>
      <c r="J408" s="28"/>
    </row>
    <row r="409" ht="20.45" customHeight="1" spans="1:8">
      <c r="A409" s="29" t="s">
        <v>768</v>
      </c>
      <c r="B409" s="29"/>
      <c r="C409" s="30" t="s">
        <v>769</v>
      </c>
      <c r="D409" s="30"/>
      <c r="E409" s="30"/>
      <c r="F409" s="30"/>
      <c r="G409" s="30"/>
      <c r="H409" s="30"/>
    </row>
    <row r="410" ht="18" customHeight="1" spans="1:8">
      <c r="A410" s="3"/>
      <c r="B410" s="3"/>
      <c r="C410" s="3"/>
      <c r="D410" s="31"/>
      <c r="E410" s="32" t="s">
        <v>570</v>
      </c>
      <c r="F410" s="31">
        <v>60</v>
      </c>
      <c r="G410" s="32" t="s">
        <v>308</v>
      </c>
      <c r="H410" s="204"/>
    </row>
    <row r="411" ht="15" customHeight="1" spans="2:8">
      <c r="B411" s="34" t="s">
        <v>194</v>
      </c>
      <c r="C411" s="34" t="s">
        <v>573</v>
      </c>
      <c r="D411" s="34" t="s">
        <v>574</v>
      </c>
      <c r="E411" s="34" t="s">
        <v>6</v>
      </c>
      <c r="F411" s="34" t="s">
        <v>575</v>
      </c>
      <c r="G411" s="34" t="s">
        <v>576</v>
      </c>
      <c r="H411" s="35" t="s">
        <v>577</v>
      </c>
    </row>
    <row r="412" ht="20.45" customHeight="1" spans="2:8">
      <c r="B412" s="34">
        <v>1.00999999046326</v>
      </c>
      <c r="C412" s="36" t="s">
        <v>700</v>
      </c>
      <c r="D412" s="34" t="s">
        <v>699</v>
      </c>
      <c r="E412" s="34" t="s">
        <v>638</v>
      </c>
      <c r="F412" s="34">
        <v>0.45</v>
      </c>
      <c r="G412" s="75">
        <f>H71</f>
        <v>69530</v>
      </c>
      <c r="H412" s="38">
        <f>G412*F412</f>
        <v>31288.5</v>
      </c>
    </row>
    <row r="413" ht="20.45" customHeight="1" spans="2:8">
      <c r="B413" s="34">
        <v>1.02499997615814</v>
      </c>
      <c r="C413" s="36" t="s">
        <v>183</v>
      </c>
      <c r="D413" s="34" t="s">
        <v>184</v>
      </c>
      <c r="E413" s="34" t="s">
        <v>175</v>
      </c>
      <c r="F413" s="34">
        <v>1</v>
      </c>
      <c r="G413" s="75">
        <f>'Basic Rates'!O5</f>
        <v>2500</v>
      </c>
      <c r="H413" s="38">
        <f t="shared" ref="H413:H419" si="18">G413*F413</f>
        <v>2500</v>
      </c>
    </row>
    <row r="414" ht="20.45" customHeight="1" spans="2:8">
      <c r="B414" s="34">
        <v>1.02999997138977</v>
      </c>
      <c r="C414" s="36" t="s">
        <v>217</v>
      </c>
      <c r="D414" s="34" t="s">
        <v>218</v>
      </c>
      <c r="E414" s="34" t="s">
        <v>175</v>
      </c>
      <c r="F414" s="34">
        <v>1</v>
      </c>
      <c r="G414" s="75">
        <f>'Basic Rates'!J12</f>
        <v>3500</v>
      </c>
      <c r="H414" s="38">
        <f t="shared" si="18"/>
        <v>3500</v>
      </c>
    </row>
    <row r="415" ht="20.45" customHeight="1" spans="2:8">
      <c r="B415" s="34">
        <v>1.03999996185303</v>
      </c>
      <c r="C415" s="36" t="s">
        <v>208</v>
      </c>
      <c r="D415" s="34" t="s">
        <v>209</v>
      </c>
      <c r="E415" s="34" t="s">
        <v>175</v>
      </c>
      <c r="F415" s="34">
        <v>4</v>
      </c>
      <c r="G415" s="75">
        <f>'Basic Rates'!J10</f>
        <v>2300</v>
      </c>
      <c r="H415" s="38">
        <f t="shared" si="18"/>
        <v>9200</v>
      </c>
    </row>
    <row r="416" ht="20.45" customHeight="1" spans="2:8">
      <c r="B416" s="34">
        <v>1.04999995231628</v>
      </c>
      <c r="C416" s="36" t="s">
        <v>716</v>
      </c>
      <c r="D416" s="34" t="s">
        <v>196</v>
      </c>
      <c r="E416" s="34" t="s">
        <v>175</v>
      </c>
      <c r="F416" s="34">
        <v>1</v>
      </c>
      <c r="G416" s="75">
        <f>'Basic Rates'!J7</f>
        <v>3500</v>
      </c>
      <c r="H416" s="38">
        <f t="shared" si="18"/>
        <v>3500</v>
      </c>
    </row>
    <row r="417" ht="20.45" customHeight="1" spans="2:8">
      <c r="B417" s="34">
        <v>1.05999994277954</v>
      </c>
      <c r="C417" s="36" t="s">
        <v>332</v>
      </c>
      <c r="D417" s="34" t="s">
        <v>333</v>
      </c>
      <c r="E417" s="34" t="s">
        <v>187</v>
      </c>
      <c r="F417" s="34">
        <v>55</v>
      </c>
      <c r="G417" s="75">
        <f>'Basic Rates'!E66</f>
        <v>3.5</v>
      </c>
      <c r="H417" s="38">
        <f t="shared" si="18"/>
        <v>192.5</v>
      </c>
    </row>
    <row r="418" ht="20.45" customHeight="1" spans="2:8">
      <c r="B418" s="34">
        <v>1.07000005245209</v>
      </c>
      <c r="C418" s="36" t="s">
        <v>36</v>
      </c>
      <c r="D418" s="34" t="s">
        <v>525</v>
      </c>
      <c r="E418" s="34" t="s">
        <v>173</v>
      </c>
      <c r="F418" s="34">
        <v>90</v>
      </c>
      <c r="G418" s="75">
        <f>'Basic Rates'!E161</f>
        <v>0.3</v>
      </c>
      <c r="H418" s="38">
        <f t="shared" si="18"/>
        <v>27</v>
      </c>
    </row>
    <row r="419" ht="20.45" customHeight="1" spans="2:8">
      <c r="B419" s="34">
        <v>1.08000004291534</v>
      </c>
      <c r="C419" s="36" t="s">
        <v>717</v>
      </c>
      <c r="D419" s="34" t="s">
        <v>209</v>
      </c>
      <c r="E419" s="34" t="s">
        <v>175</v>
      </c>
      <c r="F419" s="34">
        <v>0.5</v>
      </c>
      <c r="G419" s="75">
        <f>'Basic Rates'!J10</f>
        <v>2300</v>
      </c>
      <c r="H419" s="38">
        <f t="shared" si="18"/>
        <v>1150</v>
      </c>
    </row>
    <row r="420" ht="20.45" customHeight="1" spans="2:8">
      <c r="B420" s="61"/>
      <c r="C420" s="61"/>
      <c r="D420" s="39" t="s">
        <v>579</v>
      </c>
      <c r="E420" s="40">
        <f>$F$410</f>
        <v>60</v>
      </c>
      <c r="F420" s="40" t="str">
        <f>$G$410</f>
        <v>L.ft</v>
      </c>
      <c r="G420" s="41"/>
      <c r="H420" s="38">
        <f>SUM(H412:H419)</f>
        <v>51358</v>
      </c>
    </row>
    <row r="421" ht="20.45" customHeight="1" spans="2:8">
      <c r="B421" s="61"/>
      <c r="C421" s="61"/>
      <c r="D421" s="39" t="s">
        <v>580</v>
      </c>
      <c r="E421" s="40" t="str">
        <f>$G$410</f>
        <v>L.ft</v>
      </c>
      <c r="F421" s="40"/>
      <c r="G421" s="41"/>
      <c r="H421" s="38">
        <f>H420/F410</f>
        <v>855.966666666667</v>
      </c>
    </row>
    <row r="422" ht="20.1" customHeight="1" spans="1:8">
      <c r="A422" s="42"/>
      <c r="B422" s="43"/>
      <c r="C422" s="43"/>
      <c r="D422" s="44" t="s">
        <v>581</v>
      </c>
      <c r="E422" s="45"/>
      <c r="F422" s="45"/>
      <c r="G422" s="46" t="s">
        <v>732</v>
      </c>
      <c r="H422" s="47">
        <f>ROUND(H421,-1)</f>
        <v>860</v>
      </c>
    </row>
    <row r="423" ht="20.1" customHeight="1" spans="1:8">
      <c r="A423" s="42"/>
      <c r="B423" s="43"/>
      <c r="C423" s="43"/>
      <c r="D423" s="44" t="s">
        <v>581</v>
      </c>
      <c r="E423" s="45"/>
      <c r="F423" s="45"/>
      <c r="G423" s="46" t="s">
        <v>720</v>
      </c>
      <c r="H423" s="47">
        <f>H422*3.28</f>
        <v>2820.8</v>
      </c>
    </row>
    <row r="424" s="4" customFormat="1" ht="20.1" customHeight="1" spans="1:10">
      <c r="A424" s="42"/>
      <c r="B424" s="42"/>
      <c r="D424" s="48" t="s">
        <v>746</v>
      </c>
      <c r="E424" s="49"/>
      <c r="F424" s="49"/>
      <c r="G424" s="46" t="s">
        <v>720</v>
      </c>
      <c r="H424" s="47">
        <f>H423</f>
        <v>2820.8</v>
      </c>
      <c r="J424" s="207"/>
    </row>
    <row r="425" s="4" customFormat="1" ht="20.1" customHeight="1" spans="1:10">
      <c r="A425" s="42"/>
      <c r="B425" s="42"/>
      <c r="D425" s="48" t="s">
        <v>747</v>
      </c>
      <c r="E425" s="49"/>
      <c r="F425" s="49"/>
      <c r="G425" s="46" t="s">
        <v>720</v>
      </c>
      <c r="H425" s="47">
        <f>H424*1.1</f>
        <v>3102.88</v>
      </c>
      <c r="J425" s="207"/>
    </row>
    <row r="426" s="4" customFormat="1" ht="20.1" customHeight="1" spans="1:10">
      <c r="A426" s="42"/>
      <c r="B426" s="42"/>
      <c r="D426" s="48" t="s">
        <v>748</v>
      </c>
      <c r="E426" s="49"/>
      <c r="F426" s="49"/>
      <c r="G426" s="46" t="s">
        <v>720</v>
      </c>
      <c r="H426" s="47">
        <f>H425*1.1</f>
        <v>3413.168</v>
      </c>
      <c r="J426" s="207"/>
    </row>
    <row r="427" s="4" customFormat="1" ht="20.1" customHeight="1" spans="1:10">
      <c r="A427" s="42"/>
      <c r="B427" s="42"/>
      <c r="D427" s="48" t="s">
        <v>749</v>
      </c>
      <c r="E427" s="49"/>
      <c r="F427" s="49"/>
      <c r="G427" s="46" t="s">
        <v>720</v>
      </c>
      <c r="H427" s="47">
        <f>H426*1.1</f>
        <v>3754.4848</v>
      </c>
      <c r="J427" s="207"/>
    </row>
    <row r="428" s="1" customFormat="1" ht="20.45" customHeight="1" spans="1:10">
      <c r="A428" s="62"/>
      <c r="B428" s="63"/>
      <c r="C428" s="63"/>
      <c r="D428" s="64"/>
      <c r="E428" s="65"/>
      <c r="F428" s="65"/>
      <c r="G428" s="66"/>
      <c r="H428" s="67"/>
      <c r="J428" s="28"/>
    </row>
    <row r="429" ht="20.45" customHeight="1" spans="1:8">
      <c r="A429" s="29" t="s">
        <v>770</v>
      </c>
      <c r="B429" s="29"/>
      <c r="C429" s="30" t="s">
        <v>771</v>
      </c>
      <c r="D429" s="30"/>
      <c r="E429" s="30"/>
      <c r="F429" s="30"/>
      <c r="G429" s="30"/>
      <c r="H429" s="30"/>
    </row>
    <row r="430" ht="18" customHeight="1" spans="1:8">
      <c r="A430" s="3"/>
      <c r="B430" s="3"/>
      <c r="C430" s="3"/>
      <c r="D430" s="31"/>
      <c r="E430" s="32" t="s">
        <v>570</v>
      </c>
      <c r="F430" s="31">
        <v>36</v>
      </c>
      <c r="G430" s="32" t="s">
        <v>308</v>
      </c>
      <c r="H430" s="204"/>
    </row>
    <row r="431" ht="15" customHeight="1" spans="2:8">
      <c r="B431" s="34" t="s">
        <v>194</v>
      </c>
      <c r="C431" s="34" t="s">
        <v>573</v>
      </c>
      <c r="D431" s="34" t="s">
        <v>574</v>
      </c>
      <c r="E431" s="34" t="s">
        <v>6</v>
      </c>
      <c r="F431" s="34" t="s">
        <v>575</v>
      </c>
      <c r="G431" s="34" t="s">
        <v>576</v>
      </c>
      <c r="H431" s="35" t="s">
        <v>577</v>
      </c>
    </row>
    <row r="432" ht="20.45" customHeight="1" spans="2:8">
      <c r="B432" s="34">
        <v>1.00999999046326</v>
      </c>
      <c r="C432" s="36" t="s">
        <v>700</v>
      </c>
      <c r="D432" s="34" t="s">
        <v>699</v>
      </c>
      <c r="E432" s="34" t="s">
        <v>638</v>
      </c>
      <c r="F432" s="34">
        <v>0.45</v>
      </c>
      <c r="G432" s="75">
        <f>$H$71</f>
        <v>69530</v>
      </c>
      <c r="H432" s="38">
        <f t="shared" ref="H432:H439" si="19">G432*F432</f>
        <v>31288.5</v>
      </c>
    </row>
    <row r="433" ht="20.45" customHeight="1" spans="2:8">
      <c r="B433" s="34">
        <v>1.02499997615814</v>
      </c>
      <c r="C433" s="36" t="s">
        <v>183</v>
      </c>
      <c r="D433" s="34" t="s">
        <v>184</v>
      </c>
      <c r="E433" s="34" t="s">
        <v>175</v>
      </c>
      <c r="F433" s="34">
        <v>1</v>
      </c>
      <c r="G433" s="75">
        <f>'Basic Rates'!$O$5</f>
        <v>2500</v>
      </c>
      <c r="H433" s="38">
        <f t="shared" si="19"/>
        <v>2500</v>
      </c>
    </row>
    <row r="434" ht="20.45" customHeight="1" spans="2:8">
      <c r="B434" s="34">
        <v>1.02999997138977</v>
      </c>
      <c r="C434" s="36" t="s">
        <v>217</v>
      </c>
      <c r="D434" s="34" t="s">
        <v>218</v>
      </c>
      <c r="E434" s="34" t="s">
        <v>175</v>
      </c>
      <c r="F434" s="34">
        <v>1</v>
      </c>
      <c r="G434" s="75">
        <f>'Basic Rates'!$J$12</f>
        <v>3500</v>
      </c>
      <c r="H434" s="38">
        <f t="shared" si="19"/>
        <v>3500</v>
      </c>
    </row>
    <row r="435" ht="20.45" customHeight="1" spans="2:8">
      <c r="B435" s="34">
        <v>1.03999996185303</v>
      </c>
      <c r="C435" s="36" t="s">
        <v>208</v>
      </c>
      <c r="D435" s="34" t="s">
        <v>209</v>
      </c>
      <c r="E435" s="34" t="s">
        <v>175</v>
      </c>
      <c r="F435" s="34">
        <v>4</v>
      </c>
      <c r="G435" s="75">
        <f>'Basic Rates'!$J$10</f>
        <v>2300</v>
      </c>
      <c r="H435" s="38">
        <f t="shared" si="19"/>
        <v>9200</v>
      </c>
    </row>
    <row r="436" ht="20.45" customHeight="1" spans="2:8">
      <c r="B436" s="34">
        <v>1.04999995231628</v>
      </c>
      <c r="C436" s="36" t="s">
        <v>716</v>
      </c>
      <c r="D436" s="34" t="s">
        <v>196</v>
      </c>
      <c r="E436" s="34" t="s">
        <v>175</v>
      </c>
      <c r="F436" s="34">
        <v>1</v>
      </c>
      <c r="G436" s="75">
        <f>'Basic Rates'!$J$7</f>
        <v>3500</v>
      </c>
      <c r="H436" s="38">
        <f t="shared" si="19"/>
        <v>3500</v>
      </c>
    </row>
    <row r="437" ht="20.45" customHeight="1" spans="2:8">
      <c r="B437" s="34">
        <v>1.05999994277954</v>
      </c>
      <c r="C437" s="36" t="s">
        <v>332</v>
      </c>
      <c r="D437" s="34" t="s">
        <v>333</v>
      </c>
      <c r="E437" s="34" t="s">
        <v>187</v>
      </c>
      <c r="F437" s="34">
        <v>40</v>
      </c>
      <c r="G437" s="75">
        <f>'Basic Rates'!$E$66</f>
        <v>3.5</v>
      </c>
      <c r="H437" s="38">
        <f t="shared" si="19"/>
        <v>140</v>
      </c>
    </row>
    <row r="438" ht="20.45" customHeight="1" spans="2:8">
      <c r="B438" s="34">
        <v>1.07000005245209</v>
      </c>
      <c r="C438" s="36" t="s">
        <v>36</v>
      </c>
      <c r="D438" s="34" t="s">
        <v>525</v>
      </c>
      <c r="E438" s="34" t="s">
        <v>173</v>
      </c>
      <c r="F438" s="34">
        <v>90</v>
      </c>
      <c r="G438" s="75">
        <f>'Basic Rates'!$E$161</f>
        <v>0.3</v>
      </c>
      <c r="H438" s="38">
        <f t="shared" si="19"/>
        <v>27</v>
      </c>
    </row>
    <row r="439" ht="20.45" customHeight="1" spans="2:8">
      <c r="B439" s="34">
        <v>1.08000004291534</v>
      </c>
      <c r="C439" s="36" t="s">
        <v>717</v>
      </c>
      <c r="D439" s="34" t="s">
        <v>209</v>
      </c>
      <c r="E439" s="34" t="s">
        <v>175</v>
      </c>
      <c r="F439" s="34">
        <v>0.5</v>
      </c>
      <c r="G439" s="75">
        <f>'Basic Rates'!$J$10</f>
        <v>2300</v>
      </c>
      <c r="H439" s="38">
        <f t="shared" si="19"/>
        <v>1150</v>
      </c>
    </row>
    <row r="440" ht="20.45" customHeight="1" spans="2:8">
      <c r="B440" s="61"/>
      <c r="C440" s="61"/>
      <c r="D440" s="39" t="s">
        <v>579</v>
      </c>
      <c r="E440" s="40">
        <f>$F$430</f>
        <v>36</v>
      </c>
      <c r="F440" s="40" t="str">
        <f>$G$430</f>
        <v>L.ft</v>
      </c>
      <c r="G440" s="41"/>
      <c r="H440" s="38">
        <f>SUM(H432:H439)</f>
        <v>51305.5</v>
      </c>
    </row>
    <row r="441" ht="20.45" customHeight="1" spans="2:8">
      <c r="B441" s="61"/>
      <c r="C441" s="61"/>
      <c r="D441" s="39" t="s">
        <v>580</v>
      </c>
      <c r="E441" s="40" t="str">
        <f>$G$430</f>
        <v>L.ft</v>
      </c>
      <c r="F441" s="40"/>
      <c r="G441" s="41"/>
      <c r="H441" s="38">
        <f>H440/F430</f>
        <v>1425.15277777778</v>
      </c>
    </row>
    <row r="442" ht="20.1" customHeight="1" spans="1:8">
      <c r="A442" s="42"/>
      <c r="B442" s="43"/>
      <c r="C442" s="43"/>
      <c r="D442" s="44" t="s">
        <v>581</v>
      </c>
      <c r="E442" s="45"/>
      <c r="F442" s="45"/>
      <c r="G442" s="46" t="s">
        <v>732</v>
      </c>
      <c r="H442" s="47">
        <f>ROUND(H441,-1)</f>
        <v>1430</v>
      </c>
    </row>
    <row r="443" ht="20.1" customHeight="1" spans="1:8">
      <c r="A443" s="42"/>
      <c r="B443" s="43"/>
      <c r="C443" s="43"/>
      <c r="D443" s="44" t="s">
        <v>581</v>
      </c>
      <c r="E443" s="45"/>
      <c r="F443" s="45"/>
      <c r="G443" s="46" t="s">
        <v>720</v>
      </c>
      <c r="H443" s="47">
        <f>H442*3.28</f>
        <v>4690.4</v>
      </c>
    </row>
    <row r="444" s="4" customFormat="1" ht="20.1" customHeight="1" spans="1:10">
      <c r="A444" s="42"/>
      <c r="B444" s="42"/>
      <c r="D444" s="48" t="s">
        <v>746</v>
      </c>
      <c r="E444" s="49"/>
      <c r="F444" s="49"/>
      <c r="G444" s="46" t="s">
        <v>720</v>
      </c>
      <c r="H444" s="47">
        <f>H443</f>
        <v>4690.4</v>
      </c>
      <c r="J444" s="207"/>
    </row>
    <row r="445" s="4" customFormat="1" ht="20.1" customHeight="1" spans="1:10">
      <c r="A445" s="42"/>
      <c r="B445" s="42"/>
      <c r="D445" s="48" t="s">
        <v>747</v>
      </c>
      <c r="E445" s="49"/>
      <c r="F445" s="49"/>
      <c r="G445" s="46" t="s">
        <v>720</v>
      </c>
      <c r="H445" s="47">
        <f>H444*1.1</f>
        <v>5159.44</v>
      </c>
      <c r="J445" s="207"/>
    </row>
    <row r="446" s="4" customFormat="1" ht="20.1" customHeight="1" spans="1:10">
      <c r="A446" s="42"/>
      <c r="B446" s="42"/>
      <c r="D446" s="48" t="s">
        <v>748</v>
      </c>
      <c r="E446" s="49"/>
      <c r="F446" s="49"/>
      <c r="G446" s="46" t="s">
        <v>720</v>
      </c>
      <c r="H446" s="47">
        <f>H445*1.1</f>
        <v>5675.384</v>
      </c>
      <c r="J446" s="207"/>
    </row>
    <row r="447" s="4" customFormat="1" ht="20.1" customHeight="1" spans="1:10">
      <c r="A447" s="42"/>
      <c r="B447" s="42"/>
      <c r="D447" s="48" t="s">
        <v>749</v>
      </c>
      <c r="E447" s="49"/>
      <c r="F447" s="49"/>
      <c r="G447" s="46" t="s">
        <v>720</v>
      </c>
      <c r="H447" s="47">
        <f>H446*1.1</f>
        <v>6242.9224</v>
      </c>
      <c r="J447" s="207"/>
    </row>
  </sheetData>
  <mergeCells count="47">
    <mergeCell ref="A2:H2"/>
    <mergeCell ref="A14:B14"/>
    <mergeCell ref="C14:H14"/>
    <mergeCell ref="A29:B29"/>
    <mergeCell ref="C29:H29"/>
    <mergeCell ref="A44:B44"/>
    <mergeCell ref="C44:H44"/>
    <mergeCell ref="A59:B59"/>
    <mergeCell ref="C59:H59"/>
    <mergeCell ref="A74:B74"/>
    <mergeCell ref="C74:H74"/>
    <mergeCell ref="A91:B91"/>
    <mergeCell ref="C91:H91"/>
    <mergeCell ref="A103:B103"/>
    <mergeCell ref="C103:H103"/>
    <mergeCell ref="A117:B117"/>
    <mergeCell ref="C117:H117"/>
    <mergeCell ref="A132:B132"/>
    <mergeCell ref="C132:H132"/>
    <mergeCell ref="A153:B153"/>
    <mergeCell ref="C153:H153"/>
    <mergeCell ref="A174:B174"/>
    <mergeCell ref="C174:H174"/>
    <mergeCell ref="A195:B195"/>
    <mergeCell ref="C195:H195"/>
    <mergeCell ref="A216:B216"/>
    <mergeCell ref="C216:H216"/>
    <mergeCell ref="A237:B237"/>
    <mergeCell ref="C237:H237"/>
    <mergeCell ref="A260:B260"/>
    <mergeCell ref="C260:H260"/>
    <mergeCell ref="A281:B281"/>
    <mergeCell ref="C281:H281"/>
    <mergeCell ref="A302:B302"/>
    <mergeCell ref="C302:H302"/>
    <mergeCell ref="A325:B325"/>
    <mergeCell ref="C325:H325"/>
    <mergeCell ref="A346:B346"/>
    <mergeCell ref="C346:H346"/>
    <mergeCell ref="A369:B369"/>
    <mergeCell ref="C369:H369"/>
    <mergeCell ref="A389:B389"/>
    <mergeCell ref="C389:H389"/>
    <mergeCell ref="A409:B409"/>
    <mergeCell ref="C409:H409"/>
    <mergeCell ref="A429:B429"/>
    <mergeCell ref="C429:H429"/>
  </mergeCells>
  <hyperlinks>
    <hyperlink ref="C4" location="'05'!I18" display="Mixing Concrete"/>
    <hyperlink ref="C5" location="'05'!I99" display="Screed"/>
    <hyperlink ref="C6" location="'05'!I125" display="Mass Concrete"/>
    <hyperlink ref="C7" location="'05'!I140" display="Column"/>
    <hyperlink ref="C8" location="'05'!I270" display="Beam"/>
    <hyperlink ref="C9" location="'05'!I335" display="Slab"/>
    <hyperlink ref="C10" location="'05'!I380" display="Lintol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indexed="19"/>
  </sheetPr>
  <dimension ref="A2:L141"/>
  <sheetViews>
    <sheetView workbookViewId="0">
      <selection activeCell="L21" sqref="L21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8.4285714285714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3.4285714285714" style="9" customWidth="1"/>
    <col min="9" max="9" width="7.71428571428571" style="6" customWidth="1"/>
    <col min="10" max="10" width="9.14285714285714" style="6"/>
    <col min="11" max="11" width="9.28571428571429" style="6" customWidth="1"/>
    <col min="12" max="12" width="11.1428571428571" style="6" customWidth="1"/>
    <col min="13" max="16384" width="9.14285714285714" style="6"/>
  </cols>
  <sheetData>
    <row r="2" ht="20.1" customHeight="1" spans="1:9">
      <c r="A2" s="187" t="s">
        <v>772</v>
      </c>
      <c r="B2" s="187"/>
      <c r="C2" s="187"/>
      <c r="D2" s="187"/>
      <c r="E2" s="187"/>
      <c r="F2" s="187"/>
      <c r="G2" s="187"/>
      <c r="H2" s="187"/>
      <c r="I2" s="54"/>
    </row>
    <row r="3" s="1" customFormat="1" ht="9" customHeight="1" spans="1:9">
      <c r="A3" s="11"/>
      <c r="B3" s="12"/>
      <c r="C3" s="13"/>
      <c r="D3" s="14"/>
      <c r="E3" s="14"/>
      <c r="F3" s="14"/>
      <c r="G3" s="15"/>
      <c r="H3" s="16"/>
      <c r="I3" s="55"/>
    </row>
    <row r="4" s="1" customFormat="1" ht="20.1" customHeight="1" spans="1:9">
      <c r="A4" s="11"/>
      <c r="B4" s="17" t="s">
        <v>564</v>
      </c>
      <c r="C4" s="18" t="s">
        <v>683</v>
      </c>
      <c r="D4" s="14"/>
      <c r="E4" s="14"/>
      <c r="F4" s="14"/>
      <c r="G4" s="15"/>
      <c r="H4" s="16"/>
      <c r="I4" s="55"/>
    </row>
    <row r="5" s="1" customFormat="1" ht="20.1" customHeight="1" spans="1:9">
      <c r="A5" s="11"/>
      <c r="B5" s="17" t="s">
        <v>566</v>
      </c>
      <c r="C5" s="18" t="s">
        <v>685</v>
      </c>
      <c r="D5" s="14"/>
      <c r="E5" s="14"/>
      <c r="F5" s="14"/>
      <c r="G5" s="15"/>
      <c r="H5" s="16"/>
      <c r="I5" s="55"/>
    </row>
    <row r="6" s="1" customFormat="1" ht="20.1" customHeight="1" spans="1:9">
      <c r="A6" s="11"/>
      <c r="B6" s="17" t="s">
        <v>680</v>
      </c>
      <c r="C6" s="18" t="s">
        <v>687</v>
      </c>
      <c r="D6" s="14"/>
      <c r="E6" s="14"/>
      <c r="F6" s="14"/>
      <c r="G6" s="15"/>
      <c r="H6" s="16"/>
      <c r="I6" s="55"/>
    </row>
    <row r="7" s="1" customFormat="1" ht="11.25" customHeight="1" spans="1:8">
      <c r="A7" s="11"/>
      <c r="B7" s="13"/>
      <c r="C7" s="14"/>
      <c r="D7" s="14"/>
      <c r="E7" s="14"/>
      <c r="F7" s="14"/>
      <c r="G7" s="15"/>
      <c r="H7" s="144"/>
    </row>
    <row r="8" s="1" customFormat="1" ht="20.25" customHeight="1" spans="1:9">
      <c r="A8" s="19"/>
      <c r="B8" s="20"/>
      <c r="C8" s="21"/>
      <c r="D8" s="22" t="s">
        <v>683</v>
      </c>
      <c r="E8" s="21"/>
      <c r="F8" s="21"/>
      <c r="G8" s="23"/>
      <c r="H8" s="24"/>
      <c r="I8" s="56"/>
    </row>
    <row r="9" s="1" customFormat="1" ht="9" customHeight="1" spans="2:8">
      <c r="B9" s="25"/>
      <c r="C9" s="26"/>
      <c r="D9" s="26"/>
      <c r="E9" s="26"/>
      <c r="F9" s="26"/>
      <c r="G9" s="27"/>
      <c r="H9" s="28"/>
    </row>
    <row r="10" s="2" customFormat="1" ht="19.5" customHeight="1" spans="1:9">
      <c r="A10" s="29" t="s">
        <v>773</v>
      </c>
      <c r="B10" s="29"/>
      <c r="C10" s="30" t="s">
        <v>774</v>
      </c>
      <c r="D10" s="30"/>
      <c r="E10" s="30"/>
      <c r="F10" s="30"/>
      <c r="G10" s="30"/>
      <c r="H10" s="30"/>
      <c r="I10" s="57"/>
    </row>
    <row r="11" s="3" customFormat="1" ht="15" customHeight="1" spans="4:8">
      <c r="D11" s="31"/>
      <c r="E11" s="32" t="s">
        <v>570</v>
      </c>
      <c r="F11" s="31">
        <v>0.15</v>
      </c>
      <c r="G11" s="32" t="s">
        <v>761</v>
      </c>
      <c r="H11" s="33"/>
    </row>
    <row r="12" ht="15" customHeight="1" spans="2:8">
      <c r="B12" s="34" t="s">
        <v>194</v>
      </c>
      <c r="C12" s="34" t="s">
        <v>573</v>
      </c>
      <c r="D12" s="34" t="s">
        <v>574</v>
      </c>
      <c r="E12" s="34" t="s">
        <v>6</v>
      </c>
      <c r="F12" s="34" t="s">
        <v>575</v>
      </c>
      <c r="G12" s="34" t="s">
        <v>576</v>
      </c>
      <c r="H12" s="35" t="s">
        <v>577</v>
      </c>
    </row>
    <row r="13" ht="27" customHeight="1" spans="2:8">
      <c r="B13" s="34">
        <v>1.00999999046326</v>
      </c>
      <c r="C13" s="36" t="s">
        <v>775</v>
      </c>
      <c r="D13" s="34" t="s">
        <v>776</v>
      </c>
      <c r="E13" s="34" t="s">
        <v>777</v>
      </c>
      <c r="F13" s="34">
        <v>1</v>
      </c>
      <c r="G13" s="75">
        <f>H42</f>
        <v>1181</v>
      </c>
      <c r="H13" s="38">
        <f>G13*F13</f>
        <v>1181</v>
      </c>
    </row>
    <row r="14" ht="20.45" customHeight="1" spans="2:8">
      <c r="B14" s="34">
        <v>1.01999998092651</v>
      </c>
      <c r="C14" s="36" t="s">
        <v>778</v>
      </c>
      <c r="D14" s="34" t="s">
        <v>220</v>
      </c>
      <c r="E14" s="34" t="s">
        <v>194</v>
      </c>
      <c r="F14" s="34">
        <f>12/20</f>
        <v>0.6</v>
      </c>
      <c r="G14" s="75">
        <f>'Basic Rates'!E13</f>
        <v>75</v>
      </c>
      <c r="H14" s="38">
        <f t="shared" ref="H14:H20" si="0">G14*F14</f>
        <v>45</v>
      </c>
    </row>
    <row r="15" ht="20.45" customHeight="1" spans="2:8">
      <c r="B15" s="34">
        <v>1.02999997138977</v>
      </c>
      <c r="C15" s="36" t="s">
        <v>348</v>
      </c>
      <c r="D15" s="34" t="s">
        <v>349</v>
      </c>
      <c r="E15" s="34" t="s">
        <v>180</v>
      </c>
      <c r="F15" s="34">
        <v>0.5</v>
      </c>
      <c r="G15" s="75">
        <f>'Basic Rates'!E74</f>
        <v>35</v>
      </c>
      <c r="H15" s="38">
        <f t="shared" si="0"/>
        <v>17.5</v>
      </c>
    </row>
    <row r="16" ht="20.45" customHeight="1" spans="2:8">
      <c r="B16" s="34">
        <v>1.03999996185303</v>
      </c>
      <c r="C16" s="36" t="s">
        <v>779</v>
      </c>
      <c r="D16" s="34" t="s">
        <v>500</v>
      </c>
      <c r="E16" s="34" t="s">
        <v>308</v>
      </c>
      <c r="F16" s="34">
        <f>35/10</f>
        <v>3.5</v>
      </c>
      <c r="G16" s="75">
        <f>'Basic Rates'!E148</f>
        <v>65</v>
      </c>
      <c r="H16" s="38">
        <f t="shared" si="0"/>
        <v>227.5</v>
      </c>
    </row>
    <row r="17" ht="20.45" customHeight="1" spans="2:8">
      <c r="B17" s="34">
        <v>1.04999995231628</v>
      </c>
      <c r="C17" s="36" t="s">
        <v>780</v>
      </c>
      <c r="D17" s="34" t="s">
        <v>213</v>
      </c>
      <c r="E17" s="34" t="s">
        <v>175</v>
      </c>
      <c r="F17" s="34">
        <v>0.25</v>
      </c>
      <c r="G17" s="75">
        <f>'Basic Rates'!J11</f>
        <v>3500</v>
      </c>
      <c r="H17" s="38">
        <f t="shared" si="0"/>
        <v>875</v>
      </c>
    </row>
    <row r="18" ht="20.45" customHeight="1" spans="2:8">
      <c r="B18" s="34">
        <v>1.05999994277954</v>
      </c>
      <c r="C18" s="36" t="s">
        <v>781</v>
      </c>
      <c r="D18" s="34" t="s">
        <v>209</v>
      </c>
      <c r="E18" s="34" t="s">
        <v>175</v>
      </c>
      <c r="F18" s="34">
        <v>0.25</v>
      </c>
      <c r="G18" s="75">
        <f>'Basic Rates'!J10</f>
        <v>2300</v>
      </c>
      <c r="H18" s="38">
        <f t="shared" si="0"/>
        <v>575</v>
      </c>
    </row>
    <row r="19" ht="20.45" customHeight="1" spans="2:8">
      <c r="B19" s="34">
        <v>1.07000005245209</v>
      </c>
      <c r="C19" s="36" t="s">
        <v>782</v>
      </c>
      <c r="D19" s="34" t="s">
        <v>213</v>
      </c>
      <c r="E19" s="34" t="s">
        <v>175</v>
      </c>
      <c r="F19" s="34">
        <v>0.25</v>
      </c>
      <c r="G19" s="75">
        <f>'Basic Rates'!J11</f>
        <v>3500</v>
      </c>
      <c r="H19" s="38">
        <f t="shared" si="0"/>
        <v>875</v>
      </c>
    </row>
    <row r="20" ht="27" customHeight="1" spans="2:12">
      <c r="B20" s="34">
        <v>1.08000004291534</v>
      </c>
      <c r="C20" s="36" t="s">
        <v>783</v>
      </c>
      <c r="D20" s="34" t="s">
        <v>209</v>
      </c>
      <c r="E20" s="34" t="s">
        <v>175</v>
      </c>
      <c r="F20" s="34">
        <v>0.25</v>
      </c>
      <c r="G20" s="75">
        <f>'Basic Rates'!J10</f>
        <v>2300</v>
      </c>
      <c r="H20" s="38">
        <f t="shared" si="0"/>
        <v>575</v>
      </c>
      <c r="L20" s="6">
        <f>0.25+0.5</f>
        <v>0.75</v>
      </c>
    </row>
    <row r="21" ht="20.1" customHeight="1" spans="2:8">
      <c r="B21" s="61"/>
      <c r="C21" s="61"/>
      <c r="D21" s="188" t="s">
        <v>579</v>
      </c>
      <c r="E21" s="189">
        <f>$F$11</f>
        <v>0.15</v>
      </c>
      <c r="F21" s="189" t="str">
        <f>$G$11</f>
        <v>Sq</v>
      </c>
      <c r="G21" s="190"/>
      <c r="H21" s="191">
        <f>SUM(H13:H20)</f>
        <v>4371</v>
      </c>
    </row>
    <row r="22" ht="20.1" customHeight="1" spans="2:12">
      <c r="B22" s="61"/>
      <c r="C22" s="61"/>
      <c r="D22" s="39" t="s">
        <v>580</v>
      </c>
      <c r="E22" s="40" t="str">
        <f>$G$11</f>
        <v>Sq</v>
      </c>
      <c r="F22" s="40"/>
      <c r="G22" s="41"/>
      <c r="H22" s="38">
        <f>H21/F11</f>
        <v>29140</v>
      </c>
      <c r="L22" s="197">
        <f>1100000</f>
        <v>1100000</v>
      </c>
    </row>
    <row r="23" s="4" customFormat="1" ht="20.1" customHeight="1" spans="1:12">
      <c r="A23" s="42"/>
      <c r="B23" s="43"/>
      <c r="C23" s="43"/>
      <c r="D23" s="44" t="s">
        <v>581</v>
      </c>
      <c r="E23" s="45"/>
      <c r="F23" s="45"/>
      <c r="G23" s="46" t="s">
        <v>784</v>
      </c>
      <c r="H23" s="47">
        <f>ROUND(H22,0)</f>
        <v>29140</v>
      </c>
      <c r="K23" s="58"/>
      <c r="L23" s="198">
        <f>L22*18/100</f>
        <v>198000</v>
      </c>
    </row>
    <row r="24" s="5" customFormat="1" ht="20.1" customHeight="1" spans="1:12">
      <c r="A24" s="62"/>
      <c r="B24" s="63"/>
      <c r="C24" s="63"/>
      <c r="D24" s="44" t="s">
        <v>581</v>
      </c>
      <c r="E24" s="45"/>
      <c r="F24" s="45"/>
      <c r="G24" s="46" t="s">
        <v>785</v>
      </c>
      <c r="H24" s="47">
        <f>H23/100</f>
        <v>291.4</v>
      </c>
      <c r="K24" s="69"/>
      <c r="L24" s="199">
        <f>L23/12</f>
        <v>16500</v>
      </c>
    </row>
    <row r="25" s="5" customFormat="1" ht="20.1" customHeight="1" spans="1:12">
      <c r="A25" s="62"/>
      <c r="B25" s="63"/>
      <c r="C25" s="63"/>
      <c r="D25" s="44" t="s">
        <v>581</v>
      </c>
      <c r="E25" s="45"/>
      <c r="F25" s="45"/>
      <c r="G25" s="46" t="s">
        <v>584</v>
      </c>
      <c r="H25" s="192">
        <f>H24*10.76</f>
        <v>3135.464</v>
      </c>
      <c r="K25" s="69"/>
      <c r="L25" s="199">
        <f>L24*4</f>
        <v>66000</v>
      </c>
    </row>
    <row r="26" s="4" customFormat="1" ht="20.1" customHeight="1" spans="1:8">
      <c r="A26" s="42"/>
      <c r="B26" s="42"/>
      <c r="D26" s="48" t="s">
        <v>721</v>
      </c>
      <c r="E26" s="49"/>
      <c r="F26" s="49"/>
      <c r="G26" s="193" t="s">
        <v>584</v>
      </c>
      <c r="H26" s="194">
        <f>H25</f>
        <v>3135.464</v>
      </c>
    </row>
    <row r="27" s="4" customFormat="1" ht="20.1" customHeight="1" spans="1:8">
      <c r="A27" s="42"/>
      <c r="B27" s="42"/>
      <c r="D27" s="48" t="s">
        <v>722</v>
      </c>
      <c r="E27" s="49"/>
      <c r="F27" s="49"/>
      <c r="G27" s="193" t="s">
        <v>584</v>
      </c>
      <c r="H27" s="195">
        <f>H26*1.1</f>
        <v>3449.0104</v>
      </c>
    </row>
    <row r="28" s="4" customFormat="1" ht="20.1" customHeight="1" spans="1:8">
      <c r="A28" s="42"/>
      <c r="B28" s="42"/>
      <c r="D28" s="48" t="s">
        <v>723</v>
      </c>
      <c r="E28" s="49"/>
      <c r="F28" s="49"/>
      <c r="G28" s="193" t="s">
        <v>584</v>
      </c>
      <c r="H28" s="195">
        <f>H27*1.1</f>
        <v>3793.91144</v>
      </c>
    </row>
    <row r="29" s="4" customFormat="1" ht="20.1" customHeight="1" spans="1:8">
      <c r="A29" s="42"/>
      <c r="B29" s="42"/>
      <c r="D29" s="48" t="s">
        <v>724</v>
      </c>
      <c r="E29" s="49"/>
      <c r="F29" s="49"/>
      <c r="G29" s="193" t="s">
        <v>584</v>
      </c>
      <c r="H29" s="196">
        <f>H28*1.1</f>
        <v>4173.302584</v>
      </c>
    </row>
    <row r="30" s="5" customFormat="1" ht="20.25" customHeight="1" spans="1:11">
      <c r="A30" s="62"/>
      <c r="B30" s="63"/>
      <c r="C30" s="63"/>
      <c r="D30" s="64"/>
      <c r="E30" s="65"/>
      <c r="F30" s="65"/>
      <c r="G30" s="66"/>
      <c r="H30" s="67"/>
      <c r="K30" s="69"/>
    </row>
    <row r="31" s="2" customFormat="1" ht="19.5" customHeight="1" spans="1:9">
      <c r="A31" s="29" t="s">
        <v>776</v>
      </c>
      <c r="B31" s="29"/>
      <c r="C31" s="30" t="s">
        <v>775</v>
      </c>
      <c r="D31" s="30"/>
      <c r="E31" s="30"/>
      <c r="F31" s="30"/>
      <c r="G31" s="30"/>
      <c r="H31" s="30"/>
      <c r="I31" s="57"/>
    </row>
    <row r="32" s="3" customFormat="1" ht="16.5" customHeight="1" spans="4:8">
      <c r="D32" s="31"/>
      <c r="E32" s="32" t="s">
        <v>570</v>
      </c>
      <c r="F32" s="31">
        <v>4</v>
      </c>
      <c r="G32" s="32" t="s">
        <v>786</v>
      </c>
      <c r="H32" s="33"/>
    </row>
    <row r="33" ht="15" customHeight="1" spans="2:8">
      <c r="B33" s="34" t="s">
        <v>194</v>
      </c>
      <c r="C33" s="34" t="s">
        <v>573</v>
      </c>
      <c r="D33" s="34" t="s">
        <v>574</v>
      </c>
      <c r="E33" s="34" t="s">
        <v>6</v>
      </c>
      <c r="F33" s="34" t="s">
        <v>575</v>
      </c>
      <c r="G33" s="34" t="s">
        <v>576</v>
      </c>
      <c r="H33" s="35" t="s">
        <v>577</v>
      </c>
    </row>
    <row r="34" ht="20.45" customHeight="1" spans="2:8">
      <c r="B34" s="34">
        <v>1.00999999046326</v>
      </c>
      <c r="C34" s="36" t="s">
        <v>787</v>
      </c>
      <c r="D34" s="34" t="s">
        <v>494</v>
      </c>
      <c r="E34" s="34" t="s">
        <v>187</v>
      </c>
      <c r="F34" s="34">
        <v>18.15</v>
      </c>
      <c r="G34" s="75">
        <f>'Basic Rates'!E145</f>
        <v>65</v>
      </c>
      <c r="H34" s="38">
        <f t="shared" ref="H34:H39" si="1">G34*F34</f>
        <v>1179.75</v>
      </c>
    </row>
    <row r="35" ht="20.45" customHeight="1" spans="2:8">
      <c r="B35" s="34">
        <v>1.01999998092651</v>
      </c>
      <c r="C35" s="36" t="s">
        <v>788</v>
      </c>
      <c r="D35" s="34" t="s">
        <v>498</v>
      </c>
      <c r="E35" s="34" t="s">
        <v>308</v>
      </c>
      <c r="F35" s="34">
        <v>17.1</v>
      </c>
      <c r="G35" s="75">
        <f>'Basic Rates'!E147</f>
        <v>22</v>
      </c>
      <c r="H35" s="38">
        <f t="shared" si="1"/>
        <v>376.2</v>
      </c>
    </row>
    <row r="36" ht="20.45" customHeight="1" spans="2:8">
      <c r="B36" s="34">
        <v>1.02999997138977</v>
      </c>
      <c r="C36" s="36" t="s">
        <v>789</v>
      </c>
      <c r="D36" s="34" t="s">
        <v>496</v>
      </c>
      <c r="E36" s="34" t="s">
        <v>308</v>
      </c>
      <c r="F36" s="34">
        <v>16.12</v>
      </c>
      <c r="G36" s="75">
        <f>'Basic Rates'!E146</f>
        <v>12</v>
      </c>
      <c r="H36" s="38">
        <f t="shared" si="1"/>
        <v>193.44</v>
      </c>
    </row>
    <row r="37" ht="20.45" customHeight="1" spans="2:8">
      <c r="B37" s="34">
        <v>1.03999996185303</v>
      </c>
      <c r="C37" s="36" t="s">
        <v>532</v>
      </c>
      <c r="D37" s="34" t="s">
        <v>533</v>
      </c>
      <c r="E37" s="34" t="s">
        <v>199</v>
      </c>
      <c r="F37" s="34">
        <v>1.5</v>
      </c>
      <c r="G37" s="75">
        <f>'Basic Rates'!E165</f>
        <v>50</v>
      </c>
      <c r="H37" s="38">
        <f t="shared" si="1"/>
        <v>75</v>
      </c>
    </row>
    <row r="38" ht="20.45" customHeight="1" spans="2:8">
      <c r="B38" s="34">
        <v>1.04999995231628</v>
      </c>
      <c r="C38" s="36" t="s">
        <v>76</v>
      </c>
      <c r="D38" s="34" t="s">
        <v>213</v>
      </c>
      <c r="E38" s="34" t="s">
        <v>175</v>
      </c>
      <c r="F38" s="34">
        <v>0.5</v>
      </c>
      <c r="G38" s="75">
        <f>'Basic Rates'!J11</f>
        <v>3500</v>
      </c>
      <c r="H38" s="38">
        <f t="shared" si="1"/>
        <v>1750</v>
      </c>
    </row>
    <row r="39" ht="20.45" customHeight="1" spans="2:8">
      <c r="B39" s="34">
        <v>1.05999994277954</v>
      </c>
      <c r="C39" s="36" t="s">
        <v>208</v>
      </c>
      <c r="D39" s="34" t="s">
        <v>209</v>
      </c>
      <c r="E39" s="34" t="s">
        <v>175</v>
      </c>
      <c r="F39" s="34">
        <v>0.5</v>
      </c>
      <c r="G39" s="75">
        <f>'Basic Rates'!J10</f>
        <v>2300</v>
      </c>
      <c r="H39" s="38">
        <f t="shared" si="1"/>
        <v>1150</v>
      </c>
    </row>
    <row r="40" ht="20.45" customHeight="1" spans="2:8">
      <c r="B40" s="61"/>
      <c r="C40" s="61"/>
      <c r="D40" s="39" t="s">
        <v>579</v>
      </c>
      <c r="E40" s="40">
        <f>$F$32</f>
        <v>4</v>
      </c>
      <c r="F40" s="40" t="str">
        <f>$G$32</f>
        <v>Uses</v>
      </c>
      <c r="G40" s="41"/>
      <c r="H40" s="38">
        <f>SUM(H34:H39)</f>
        <v>4724.39</v>
      </c>
    </row>
    <row r="41" ht="20.45" customHeight="1" spans="2:8">
      <c r="B41" s="61"/>
      <c r="C41" s="61"/>
      <c r="D41" s="39" t="s">
        <v>580</v>
      </c>
      <c r="E41" s="40" t="str">
        <f>$G$32</f>
        <v>Uses</v>
      </c>
      <c r="F41" s="40"/>
      <c r="G41" s="41"/>
      <c r="H41" s="38">
        <f>H40/F32</f>
        <v>1181.0975</v>
      </c>
    </row>
    <row r="42" s="4" customFormat="1" ht="20.1" customHeight="1" spans="1:11">
      <c r="A42" s="42"/>
      <c r="B42" s="43"/>
      <c r="C42" s="43"/>
      <c r="D42" s="44" t="s">
        <v>581</v>
      </c>
      <c r="E42" s="45"/>
      <c r="F42" s="45"/>
      <c r="G42" s="46" t="s">
        <v>777</v>
      </c>
      <c r="H42" s="47">
        <f>ROUND(H41,0)</f>
        <v>1181</v>
      </c>
      <c r="K42" s="58"/>
    </row>
    <row r="43" s="4" customFormat="1" ht="30.6" customHeight="1" spans="1:8">
      <c r="A43" s="42"/>
      <c r="B43" s="42"/>
      <c r="C43" s="42"/>
      <c r="D43" s="50"/>
      <c r="E43" s="51"/>
      <c r="F43" s="51"/>
      <c r="G43" s="52"/>
      <c r="H43" s="53"/>
    </row>
    <row r="44" s="1" customFormat="1" ht="20.25" customHeight="1" spans="1:9">
      <c r="A44" s="19"/>
      <c r="B44" s="20"/>
      <c r="C44" s="21"/>
      <c r="D44" s="22" t="s">
        <v>685</v>
      </c>
      <c r="E44" s="21"/>
      <c r="F44" s="21"/>
      <c r="G44" s="23"/>
      <c r="H44" s="24"/>
      <c r="I44" s="56"/>
    </row>
    <row r="45" s="1" customFormat="1" ht="9" customHeight="1" spans="2:8">
      <c r="B45" s="25"/>
      <c r="C45" s="26"/>
      <c r="D45" s="26"/>
      <c r="E45" s="26"/>
      <c r="F45" s="26"/>
      <c r="G45" s="27"/>
      <c r="H45" s="28"/>
    </row>
    <row r="46" s="2" customFormat="1" ht="21" customHeight="1" spans="1:9">
      <c r="A46" s="29" t="s">
        <v>790</v>
      </c>
      <c r="B46" s="29"/>
      <c r="C46" s="30" t="s">
        <v>791</v>
      </c>
      <c r="D46" s="30"/>
      <c r="E46" s="30"/>
      <c r="F46" s="30"/>
      <c r="G46" s="30"/>
      <c r="H46" s="30"/>
      <c r="I46" s="57"/>
    </row>
    <row r="47" s="3" customFormat="1" ht="15" customHeight="1" spans="4:8">
      <c r="D47" s="31"/>
      <c r="E47" s="32" t="s">
        <v>570</v>
      </c>
      <c r="F47" s="31">
        <v>0.55</v>
      </c>
      <c r="G47" s="32" t="s">
        <v>761</v>
      </c>
      <c r="H47" s="33"/>
    </row>
    <row r="48" ht="15" customHeight="1" spans="2:8">
      <c r="B48" s="34" t="s">
        <v>194</v>
      </c>
      <c r="C48" s="34" t="s">
        <v>573</v>
      </c>
      <c r="D48" s="34" t="s">
        <v>574</v>
      </c>
      <c r="E48" s="34" t="s">
        <v>6</v>
      </c>
      <c r="F48" s="34" t="s">
        <v>575</v>
      </c>
      <c r="G48" s="34" t="s">
        <v>576</v>
      </c>
      <c r="H48" s="35" t="s">
        <v>577</v>
      </c>
    </row>
    <row r="49" ht="28.5" customHeight="1" spans="2:8">
      <c r="B49" s="34">
        <v>1.00999999046326</v>
      </c>
      <c r="C49" s="36" t="s">
        <v>792</v>
      </c>
      <c r="D49" s="34" t="s">
        <v>793</v>
      </c>
      <c r="E49" s="34" t="s">
        <v>777</v>
      </c>
      <c r="F49" s="34">
        <v>1</v>
      </c>
      <c r="G49" s="75">
        <f>H81</f>
        <v>4270</v>
      </c>
      <c r="H49" s="38">
        <f t="shared" ref="H49:H57" si="2">G49*F49</f>
        <v>4270</v>
      </c>
    </row>
    <row r="50" ht="31.5" customHeight="1" spans="2:8">
      <c r="B50" s="34">
        <v>1.01999998092651</v>
      </c>
      <c r="C50" s="36" t="s">
        <v>794</v>
      </c>
      <c r="D50" s="34" t="s">
        <v>795</v>
      </c>
      <c r="E50" s="34" t="s">
        <v>777</v>
      </c>
      <c r="F50" s="34">
        <v>1</v>
      </c>
      <c r="G50" s="75">
        <f>H92</f>
        <v>1568</v>
      </c>
      <c r="H50" s="38">
        <f t="shared" si="2"/>
        <v>1568</v>
      </c>
    </row>
    <row r="51" ht="20.45" customHeight="1" spans="2:8">
      <c r="B51" s="34">
        <v>1.02999997138977</v>
      </c>
      <c r="C51" s="36" t="s">
        <v>796</v>
      </c>
      <c r="D51" s="457" t="s">
        <v>676</v>
      </c>
      <c r="E51" s="457" t="s">
        <v>676</v>
      </c>
      <c r="F51" s="457" t="s">
        <v>676</v>
      </c>
      <c r="G51" s="457" t="s">
        <v>676</v>
      </c>
      <c r="H51" s="38">
        <f>H50*10/100</f>
        <v>156.8</v>
      </c>
    </row>
    <row r="52" ht="20.45" customHeight="1" spans="2:8">
      <c r="B52" s="34">
        <v>1.03999996185303</v>
      </c>
      <c r="C52" s="36" t="s">
        <v>797</v>
      </c>
      <c r="D52" s="34" t="s">
        <v>213</v>
      </c>
      <c r="E52" s="34" t="s">
        <v>175</v>
      </c>
      <c r="F52" s="34">
        <v>1</v>
      </c>
      <c r="G52" s="75">
        <f>'Basic Rates'!$J$11</f>
        <v>3500</v>
      </c>
      <c r="H52" s="38">
        <f t="shared" si="2"/>
        <v>3500</v>
      </c>
    </row>
    <row r="53" ht="20.45" customHeight="1" spans="2:8">
      <c r="B53" s="34">
        <v>1.04999995231628</v>
      </c>
      <c r="C53" s="36" t="s">
        <v>798</v>
      </c>
      <c r="D53" s="34" t="s">
        <v>209</v>
      </c>
      <c r="E53" s="34" t="s">
        <v>175</v>
      </c>
      <c r="F53" s="34">
        <v>2</v>
      </c>
      <c r="G53" s="75">
        <f>'Basic Rates'!$J$10</f>
        <v>2300</v>
      </c>
      <c r="H53" s="38">
        <f t="shared" si="2"/>
        <v>4600</v>
      </c>
    </row>
    <row r="54" ht="20.45" customHeight="1" spans="2:8">
      <c r="B54" s="34">
        <v>1.05999994277954</v>
      </c>
      <c r="C54" s="36" t="s">
        <v>348</v>
      </c>
      <c r="D54" s="34" t="s">
        <v>349</v>
      </c>
      <c r="E54" s="34" t="s">
        <v>180</v>
      </c>
      <c r="F54" s="34">
        <v>0.5</v>
      </c>
      <c r="G54" s="75">
        <f>'Basic Rates'!$E$74</f>
        <v>35</v>
      </c>
      <c r="H54" s="38">
        <f t="shared" si="2"/>
        <v>17.5</v>
      </c>
    </row>
    <row r="55" ht="20.45" customHeight="1" spans="2:8">
      <c r="B55" s="34">
        <v>1.07000005245209</v>
      </c>
      <c r="C55" s="36" t="s">
        <v>532</v>
      </c>
      <c r="D55" s="34" t="s">
        <v>533</v>
      </c>
      <c r="E55" s="34" t="s">
        <v>199</v>
      </c>
      <c r="F55" s="34">
        <v>0.5</v>
      </c>
      <c r="G55" s="75">
        <f>'Basic Rates'!$E$150</f>
        <v>65</v>
      </c>
      <c r="H55" s="38">
        <f t="shared" si="2"/>
        <v>32.5</v>
      </c>
    </row>
    <row r="56" ht="27" customHeight="1" spans="2:8">
      <c r="B56" s="34">
        <v>1.08000004291534</v>
      </c>
      <c r="C56" s="36" t="s">
        <v>782</v>
      </c>
      <c r="D56" s="34" t="s">
        <v>213</v>
      </c>
      <c r="E56" s="34" t="s">
        <v>175</v>
      </c>
      <c r="F56" s="34">
        <v>0.5</v>
      </c>
      <c r="G56" s="75">
        <f>'Basic Rates'!$J$11</f>
        <v>3500</v>
      </c>
      <c r="H56" s="38">
        <f t="shared" si="2"/>
        <v>1750</v>
      </c>
    </row>
    <row r="57" ht="30" customHeight="1" spans="2:8">
      <c r="B57" s="34">
        <v>1.0900000333786</v>
      </c>
      <c r="C57" s="36" t="s">
        <v>783</v>
      </c>
      <c r="D57" s="34" t="s">
        <v>209</v>
      </c>
      <c r="E57" s="34" t="s">
        <v>175</v>
      </c>
      <c r="F57" s="34">
        <v>2</v>
      </c>
      <c r="G57" s="75">
        <f>'Basic Rates'!$J$10</f>
        <v>2300</v>
      </c>
      <c r="H57" s="38">
        <f t="shared" si="2"/>
        <v>4600</v>
      </c>
    </row>
    <row r="58" ht="20.45" customHeight="1" spans="2:8">
      <c r="B58" s="61"/>
      <c r="C58" s="61"/>
      <c r="D58" s="39" t="s">
        <v>579</v>
      </c>
      <c r="E58" s="40">
        <f>$F$47</f>
        <v>0.55</v>
      </c>
      <c r="F58" s="40" t="str">
        <f>$G$47</f>
        <v>Sq</v>
      </c>
      <c r="G58" s="41"/>
      <c r="H58" s="38">
        <f>SUM(H49:H57)</f>
        <v>20494.8</v>
      </c>
    </row>
    <row r="59" ht="20.45" customHeight="1" spans="2:8">
      <c r="B59" s="61"/>
      <c r="C59" s="61"/>
      <c r="D59" s="39" t="s">
        <v>580</v>
      </c>
      <c r="E59" s="40" t="str">
        <f>$G$47</f>
        <v>Sq</v>
      </c>
      <c r="F59" s="40"/>
      <c r="G59" s="41"/>
      <c r="H59" s="38">
        <f>H58/F47</f>
        <v>37263.2727272727</v>
      </c>
    </row>
    <row r="60" s="4" customFormat="1" ht="20.1" customHeight="1" spans="1:11">
      <c r="A60" s="42"/>
      <c r="B60" s="43"/>
      <c r="C60" s="43"/>
      <c r="D60" s="44" t="s">
        <v>581</v>
      </c>
      <c r="E60" s="45"/>
      <c r="F60" s="45"/>
      <c r="G60" s="46" t="s">
        <v>784</v>
      </c>
      <c r="H60" s="47">
        <f>ROUND(H59,0)</f>
        <v>37263</v>
      </c>
      <c r="K60" s="58"/>
    </row>
    <row r="61" s="5" customFormat="1" ht="20.1" customHeight="1" spans="1:11">
      <c r="A61" s="62"/>
      <c r="B61" s="63"/>
      <c r="C61" s="63"/>
      <c r="D61" s="44" t="s">
        <v>581</v>
      </c>
      <c r="E61" s="45"/>
      <c r="F61" s="45"/>
      <c r="G61" s="46" t="s">
        <v>583</v>
      </c>
      <c r="H61" s="47">
        <f>H60/100</f>
        <v>372.63</v>
      </c>
      <c r="K61" s="69"/>
    </row>
    <row r="62" s="5" customFormat="1" ht="20.1" customHeight="1" spans="1:11">
      <c r="A62" s="62"/>
      <c r="B62" s="63"/>
      <c r="C62" s="63"/>
      <c r="D62" s="44" t="s">
        <v>581</v>
      </c>
      <c r="E62" s="45"/>
      <c r="F62" s="45"/>
      <c r="G62" s="46" t="s">
        <v>584</v>
      </c>
      <c r="H62" s="192">
        <f>H61*10.76</f>
        <v>4009.4988</v>
      </c>
      <c r="K62" s="69"/>
    </row>
    <row r="63" s="4" customFormat="1" ht="20.1" customHeight="1" spans="1:8">
      <c r="A63" s="42"/>
      <c r="B63" s="42"/>
      <c r="D63" s="48" t="s">
        <v>746</v>
      </c>
      <c r="E63" s="49"/>
      <c r="F63" s="49"/>
      <c r="G63" s="193" t="s">
        <v>584</v>
      </c>
      <c r="H63" s="195">
        <f>H62</f>
        <v>4009.4988</v>
      </c>
    </row>
    <row r="64" s="4" customFormat="1" ht="20.1" customHeight="1" spans="1:8">
      <c r="A64" s="42"/>
      <c r="B64" s="42"/>
      <c r="D64" s="48" t="s">
        <v>747</v>
      </c>
      <c r="E64" s="49"/>
      <c r="F64" s="49"/>
      <c r="G64" s="193" t="s">
        <v>584</v>
      </c>
      <c r="H64" s="195">
        <f>H63*1.1</f>
        <v>4410.44868</v>
      </c>
    </row>
    <row r="65" s="4" customFormat="1" ht="20.1" customHeight="1" spans="1:8">
      <c r="A65" s="42"/>
      <c r="B65" s="42"/>
      <c r="D65" s="48" t="s">
        <v>748</v>
      </c>
      <c r="E65" s="49"/>
      <c r="F65" s="49"/>
      <c r="G65" s="193" t="s">
        <v>584</v>
      </c>
      <c r="H65" s="195">
        <f>H64*1.1</f>
        <v>4851.493548</v>
      </c>
    </row>
    <row r="66" s="4" customFormat="1" ht="20.1" customHeight="1" spans="1:8">
      <c r="A66" s="42"/>
      <c r="B66" s="42"/>
      <c r="D66" s="48" t="s">
        <v>749</v>
      </c>
      <c r="E66" s="49"/>
      <c r="F66" s="49"/>
      <c r="G66" s="193" t="s">
        <v>584</v>
      </c>
      <c r="H66" s="195">
        <f>H65*1.1</f>
        <v>5336.6429028</v>
      </c>
    </row>
    <row r="67" s="5" customFormat="1" ht="11.25" customHeight="1" spans="1:11">
      <c r="A67" s="62"/>
      <c r="B67" s="63"/>
      <c r="C67" s="63"/>
      <c r="D67" s="64"/>
      <c r="E67" s="65"/>
      <c r="F67" s="65"/>
      <c r="G67" s="66"/>
      <c r="H67" s="67"/>
      <c r="K67" s="69"/>
    </row>
    <row r="68" s="4" customFormat="1" ht="15.75" customHeight="1" spans="1:8">
      <c r="A68" s="42"/>
      <c r="B68" s="42"/>
      <c r="C68" s="42"/>
      <c r="D68" s="50"/>
      <c r="E68" s="51"/>
      <c r="F68" s="51"/>
      <c r="G68" s="52"/>
      <c r="H68" s="53"/>
    </row>
    <row r="69" s="2" customFormat="1" ht="17.25" customHeight="1" spans="1:9">
      <c r="A69" s="29" t="s">
        <v>793</v>
      </c>
      <c r="B69" s="29"/>
      <c r="C69" s="30" t="s">
        <v>792</v>
      </c>
      <c r="D69" s="30"/>
      <c r="E69" s="30"/>
      <c r="F69" s="30"/>
      <c r="G69" s="30"/>
      <c r="H69" s="30"/>
      <c r="I69" s="57"/>
    </row>
    <row r="70" s="3" customFormat="1" ht="13.5" customHeight="1" spans="4:8">
      <c r="D70" s="31"/>
      <c r="E70" s="32" t="s">
        <v>570</v>
      </c>
      <c r="F70" s="31">
        <v>4</v>
      </c>
      <c r="G70" s="32" t="s">
        <v>786</v>
      </c>
      <c r="H70" s="33"/>
    </row>
    <row r="71" ht="15" customHeight="1" spans="2:8">
      <c r="B71" s="34" t="s">
        <v>194</v>
      </c>
      <c r="C71" s="34" t="s">
        <v>573</v>
      </c>
      <c r="D71" s="34" t="s">
        <v>574</v>
      </c>
      <c r="E71" s="34" t="s">
        <v>6</v>
      </c>
      <c r="F71" s="34" t="s">
        <v>575</v>
      </c>
      <c r="G71" s="34" t="s">
        <v>576</v>
      </c>
      <c r="H71" s="35" t="s">
        <v>577</v>
      </c>
    </row>
    <row r="72" ht="20.1" customHeight="1" spans="2:8">
      <c r="B72" s="34">
        <v>1.00999999046326</v>
      </c>
      <c r="C72" s="36" t="s">
        <v>787</v>
      </c>
      <c r="D72" s="34" t="s">
        <v>494</v>
      </c>
      <c r="E72" s="34" t="s">
        <v>187</v>
      </c>
      <c r="F72" s="34">
        <v>60</v>
      </c>
      <c r="G72" s="75">
        <f>'Basic Rates'!E145</f>
        <v>65</v>
      </c>
      <c r="H72" s="38">
        <f t="shared" ref="H72:H78" si="3">G72*F72</f>
        <v>3900</v>
      </c>
    </row>
    <row r="73" ht="20.1" customHeight="1" spans="2:8">
      <c r="B73" s="34">
        <v>1.01999998092651</v>
      </c>
      <c r="C73" s="36" t="s">
        <v>789</v>
      </c>
      <c r="D73" s="34" t="s">
        <v>496</v>
      </c>
      <c r="E73" s="34" t="s">
        <v>308</v>
      </c>
      <c r="F73" s="34">
        <v>24</v>
      </c>
      <c r="G73" s="75">
        <f>'Basic Rates'!E146</f>
        <v>12</v>
      </c>
      <c r="H73" s="38">
        <f t="shared" si="3"/>
        <v>288</v>
      </c>
    </row>
    <row r="74" ht="20.1" customHeight="1" spans="2:8">
      <c r="B74" s="34">
        <v>1.02999997138977</v>
      </c>
      <c r="C74" s="36" t="s">
        <v>788</v>
      </c>
      <c r="D74" s="34" t="s">
        <v>498</v>
      </c>
      <c r="E74" s="457" t="s">
        <v>308</v>
      </c>
      <c r="F74" s="34">
        <v>45</v>
      </c>
      <c r="G74" s="75">
        <f>'Basic Rates'!E147</f>
        <v>22</v>
      </c>
      <c r="H74" s="38">
        <f t="shared" si="3"/>
        <v>990</v>
      </c>
    </row>
    <row r="75" ht="20.1" customHeight="1" spans="2:8">
      <c r="B75" s="34">
        <v>1.03999996185303</v>
      </c>
      <c r="C75" s="36" t="s">
        <v>799</v>
      </c>
      <c r="D75" s="34" t="s">
        <v>500</v>
      </c>
      <c r="E75" s="34" t="s">
        <v>308</v>
      </c>
      <c r="F75" s="34">
        <v>30</v>
      </c>
      <c r="G75" s="75">
        <f>'Basic Rates'!E148</f>
        <v>65</v>
      </c>
      <c r="H75" s="38">
        <f t="shared" si="3"/>
        <v>1950</v>
      </c>
    </row>
    <row r="76" ht="20.1" customHeight="1" spans="2:8">
      <c r="B76" s="34">
        <v>1.05</v>
      </c>
      <c r="C76" s="36" t="s">
        <v>532</v>
      </c>
      <c r="D76" s="34" t="s">
        <v>533</v>
      </c>
      <c r="E76" s="34" t="s">
        <v>199</v>
      </c>
      <c r="F76" s="34">
        <v>2</v>
      </c>
      <c r="G76" s="75">
        <f>'Basic Rates'!E165</f>
        <v>50</v>
      </c>
      <c r="H76" s="38">
        <f t="shared" si="3"/>
        <v>100</v>
      </c>
    </row>
    <row r="77" ht="20.1" customHeight="1" spans="2:8">
      <c r="B77" s="34">
        <v>1.06</v>
      </c>
      <c r="C77" s="36" t="s">
        <v>76</v>
      </c>
      <c r="D77" s="34" t="s">
        <v>213</v>
      </c>
      <c r="E77" s="34" t="s">
        <v>175</v>
      </c>
      <c r="F77" s="34">
        <v>1.5</v>
      </c>
      <c r="G77" s="75">
        <f>'Basic Rates'!J11</f>
        <v>3500</v>
      </c>
      <c r="H77" s="38">
        <f t="shared" si="3"/>
        <v>5250</v>
      </c>
    </row>
    <row r="78" ht="20.1" customHeight="1" spans="2:8">
      <c r="B78" s="34">
        <v>1.07</v>
      </c>
      <c r="C78" s="36" t="s">
        <v>208</v>
      </c>
      <c r="D78" s="34" t="s">
        <v>209</v>
      </c>
      <c r="E78" s="34" t="s">
        <v>175</v>
      </c>
      <c r="F78" s="34">
        <v>2</v>
      </c>
      <c r="G78" s="75">
        <f>'Basic Rates'!J10</f>
        <v>2300</v>
      </c>
      <c r="H78" s="38">
        <f t="shared" si="3"/>
        <v>4600</v>
      </c>
    </row>
    <row r="79" ht="20.1" customHeight="1" spans="2:8">
      <c r="B79" s="61"/>
      <c r="C79" s="61"/>
      <c r="D79" s="39" t="s">
        <v>579</v>
      </c>
      <c r="E79" s="40">
        <f>$F$70</f>
        <v>4</v>
      </c>
      <c r="F79" s="40" t="str">
        <f>$G$70</f>
        <v>Uses</v>
      </c>
      <c r="G79" s="41"/>
      <c r="H79" s="38">
        <f>SUM(H72:H78)</f>
        <v>17078</v>
      </c>
    </row>
    <row r="80" ht="20.1" customHeight="1" spans="2:8">
      <c r="B80" s="61"/>
      <c r="C80" s="61"/>
      <c r="D80" s="39" t="s">
        <v>580</v>
      </c>
      <c r="E80" s="40" t="str">
        <f>$G$70</f>
        <v>Uses</v>
      </c>
      <c r="F80" s="40"/>
      <c r="G80" s="41"/>
      <c r="H80" s="38">
        <f>H79/F70</f>
        <v>4269.5</v>
      </c>
    </row>
    <row r="81" s="4" customFormat="1" ht="20.1" customHeight="1" spans="1:11">
      <c r="A81" s="42"/>
      <c r="B81" s="43"/>
      <c r="C81" s="43"/>
      <c r="D81" s="44" t="s">
        <v>581</v>
      </c>
      <c r="E81" s="45"/>
      <c r="F81" s="45"/>
      <c r="G81" s="46" t="s">
        <v>777</v>
      </c>
      <c r="H81" s="47">
        <f>ROUND(H80,0)</f>
        <v>4270</v>
      </c>
      <c r="K81" s="58"/>
    </row>
    <row r="82" s="4" customFormat="1" ht="19.5" customHeight="1" spans="1:8">
      <c r="A82" s="42"/>
      <c r="B82" s="42"/>
      <c r="C82" s="42"/>
      <c r="D82" s="50"/>
      <c r="E82" s="51"/>
      <c r="F82" s="51"/>
      <c r="G82" s="52"/>
      <c r="H82" s="53"/>
    </row>
    <row r="83" s="2" customFormat="1" ht="17.25" customHeight="1" spans="1:9">
      <c r="A83" s="29" t="s">
        <v>795</v>
      </c>
      <c r="B83" s="29"/>
      <c r="C83" s="30" t="s">
        <v>800</v>
      </c>
      <c r="D83" s="30"/>
      <c r="E83" s="30"/>
      <c r="F83" s="30"/>
      <c r="G83" s="30"/>
      <c r="H83" s="30"/>
      <c r="I83" s="57"/>
    </row>
    <row r="84" s="3" customFormat="1" ht="13.5" customHeight="1" spans="4:8">
      <c r="D84" s="31"/>
      <c r="E84" s="32" t="s">
        <v>570</v>
      </c>
      <c r="F84" s="31">
        <v>6</v>
      </c>
      <c r="G84" s="32" t="s">
        <v>786</v>
      </c>
      <c r="H84" s="33"/>
    </row>
    <row r="85" ht="15" customHeight="1" spans="2:8">
      <c r="B85" s="34" t="s">
        <v>194</v>
      </c>
      <c r="C85" s="34" t="s">
        <v>573</v>
      </c>
      <c r="D85" s="34" t="s">
        <v>574</v>
      </c>
      <c r="E85" s="34" t="s">
        <v>6</v>
      </c>
      <c r="F85" s="34" t="s">
        <v>575</v>
      </c>
      <c r="G85" s="34" t="s">
        <v>576</v>
      </c>
      <c r="H85" s="35" t="s">
        <v>577</v>
      </c>
    </row>
    <row r="86" ht="20.1" customHeight="1" spans="2:8">
      <c r="B86" s="34">
        <v>1.01</v>
      </c>
      <c r="C86" s="36" t="s">
        <v>779</v>
      </c>
      <c r="D86" s="34" t="s">
        <v>500</v>
      </c>
      <c r="E86" s="34" t="s">
        <v>308</v>
      </c>
      <c r="F86" s="34">
        <v>110</v>
      </c>
      <c r="G86" s="75">
        <f>'Basic Rates'!E148</f>
        <v>65</v>
      </c>
      <c r="H86" s="38">
        <f>G86*F86</f>
        <v>7150</v>
      </c>
    </row>
    <row r="87" ht="20.1" customHeight="1" spans="2:8">
      <c r="B87" s="34">
        <v>1.02</v>
      </c>
      <c r="C87" s="36" t="s">
        <v>801</v>
      </c>
      <c r="D87" s="34" t="s">
        <v>498</v>
      </c>
      <c r="E87" s="34" t="s">
        <v>308</v>
      </c>
      <c r="F87" s="34">
        <v>80</v>
      </c>
      <c r="G87" s="75">
        <f>'Basic Rates'!E147</f>
        <v>22</v>
      </c>
      <c r="H87" s="38">
        <f>G87*F87</f>
        <v>1760</v>
      </c>
    </row>
    <row r="88" ht="20.1" customHeight="1" spans="2:8">
      <c r="B88" s="34">
        <v>1.03</v>
      </c>
      <c r="C88" s="36" t="s">
        <v>802</v>
      </c>
      <c r="D88" s="34" t="s">
        <v>494</v>
      </c>
      <c r="E88" s="457" t="s">
        <v>187</v>
      </c>
      <c r="F88" s="34">
        <v>6</v>
      </c>
      <c r="G88" s="75">
        <f>'Basic Rates'!E145</f>
        <v>65</v>
      </c>
      <c r="H88" s="38">
        <f>G88*F88</f>
        <v>390</v>
      </c>
    </row>
    <row r="89" ht="20.1" customHeight="1" spans="2:8">
      <c r="B89" s="34">
        <v>1.04</v>
      </c>
      <c r="C89" s="36" t="s">
        <v>513</v>
      </c>
      <c r="D89" s="34" t="s">
        <v>514</v>
      </c>
      <c r="E89" s="34" t="s">
        <v>194</v>
      </c>
      <c r="F89" s="34">
        <v>22</v>
      </c>
      <c r="G89" s="75">
        <f>'Basic Rates'!E155</f>
        <v>5</v>
      </c>
      <c r="H89" s="38">
        <f>G89*F89</f>
        <v>110</v>
      </c>
    </row>
    <row r="90" ht="20.1" customHeight="1" spans="2:8">
      <c r="B90" s="61"/>
      <c r="C90" s="61"/>
      <c r="D90" s="39" t="s">
        <v>579</v>
      </c>
      <c r="E90" s="40">
        <f>$F$84</f>
        <v>6</v>
      </c>
      <c r="F90" s="40" t="str">
        <f>$G$84</f>
        <v>Uses</v>
      </c>
      <c r="G90" s="41"/>
      <c r="H90" s="38">
        <f>SUM(H86:H89)</f>
        <v>9410</v>
      </c>
    </row>
    <row r="91" ht="20.1" customHeight="1" spans="2:8">
      <c r="B91" s="61"/>
      <c r="C91" s="61"/>
      <c r="D91" s="39" t="s">
        <v>580</v>
      </c>
      <c r="E91" s="40" t="str">
        <f>$G$84</f>
        <v>Uses</v>
      </c>
      <c r="F91" s="40"/>
      <c r="G91" s="41"/>
      <c r="H91" s="38">
        <f>H90/F84</f>
        <v>1568.33333333333</v>
      </c>
    </row>
    <row r="92" s="4" customFormat="1" ht="20.1" customHeight="1" spans="1:11">
      <c r="A92" s="42"/>
      <c r="B92" s="43"/>
      <c r="C92" s="43"/>
      <c r="D92" s="44" t="s">
        <v>581</v>
      </c>
      <c r="E92" s="45"/>
      <c r="F92" s="45"/>
      <c r="G92" s="46" t="s">
        <v>777</v>
      </c>
      <c r="H92" s="47">
        <f>ROUND(H91,0)</f>
        <v>1568</v>
      </c>
      <c r="K92" s="58"/>
    </row>
    <row r="93" s="5" customFormat="1" ht="20.1" customHeight="1" spans="1:11">
      <c r="A93" s="62"/>
      <c r="B93" s="63"/>
      <c r="C93" s="63"/>
      <c r="D93" s="64"/>
      <c r="E93" s="65"/>
      <c r="F93" s="65"/>
      <c r="G93" s="66"/>
      <c r="H93" s="67"/>
      <c r="K93" s="69"/>
    </row>
    <row r="94" s="1" customFormat="1" ht="20.25" customHeight="1" spans="1:9">
      <c r="A94" s="19"/>
      <c r="B94" s="20"/>
      <c r="C94" s="21"/>
      <c r="D94" s="22" t="s">
        <v>687</v>
      </c>
      <c r="E94" s="21"/>
      <c r="F94" s="21"/>
      <c r="G94" s="23"/>
      <c r="H94" s="24"/>
      <c r="I94" s="56"/>
    </row>
    <row r="95" s="4" customFormat="1" ht="19.5" customHeight="1" spans="1:8">
      <c r="A95" s="42"/>
      <c r="B95" s="42"/>
      <c r="C95" s="42"/>
      <c r="D95" s="50"/>
      <c r="E95" s="51"/>
      <c r="F95" s="51"/>
      <c r="G95" s="52"/>
      <c r="H95" s="53"/>
    </row>
    <row r="96" s="2" customFormat="1" ht="17.25" customHeight="1" spans="1:9">
      <c r="A96" s="29" t="s">
        <v>803</v>
      </c>
      <c r="B96" s="29"/>
      <c r="C96" s="30" t="s">
        <v>804</v>
      </c>
      <c r="D96" s="30"/>
      <c r="E96" s="30"/>
      <c r="F96" s="30"/>
      <c r="G96" s="30"/>
      <c r="H96" s="30"/>
      <c r="I96" s="57"/>
    </row>
    <row r="97" s="3" customFormat="1" ht="13.5" customHeight="1" spans="4:8">
      <c r="D97" s="31"/>
      <c r="E97" s="32" t="s">
        <v>570</v>
      </c>
      <c r="F97" s="31">
        <v>2</v>
      </c>
      <c r="G97" s="32" t="s">
        <v>761</v>
      </c>
      <c r="H97" s="33"/>
    </row>
    <row r="98" ht="15" customHeight="1" spans="2:8">
      <c r="B98" s="34" t="s">
        <v>194</v>
      </c>
      <c r="C98" s="34" t="s">
        <v>573</v>
      </c>
      <c r="D98" s="34" t="s">
        <v>574</v>
      </c>
      <c r="E98" s="34" t="s">
        <v>6</v>
      </c>
      <c r="F98" s="34" t="s">
        <v>575</v>
      </c>
      <c r="G98" s="34" t="s">
        <v>576</v>
      </c>
      <c r="H98" s="35" t="s">
        <v>577</v>
      </c>
    </row>
    <row r="99" ht="30" customHeight="1" spans="2:8">
      <c r="B99" s="34">
        <v>1.01</v>
      </c>
      <c r="C99" s="36" t="s">
        <v>805</v>
      </c>
      <c r="D99" s="34" t="s">
        <v>806</v>
      </c>
      <c r="E99" s="34" t="s">
        <v>777</v>
      </c>
      <c r="F99" s="34">
        <v>1</v>
      </c>
      <c r="G99" s="75">
        <f>H130</f>
        <v>9941</v>
      </c>
      <c r="H99" s="38">
        <f t="shared" ref="H99:H108" si="4">G99*F99</f>
        <v>9941</v>
      </c>
    </row>
    <row r="100" ht="20.1" customHeight="1" spans="2:8">
      <c r="B100" s="34">
        <v>1.02</v>
      </c>
      <c r="C100" s="36" t="s">
        <v>807</v>
      </c>
      <c r="D100" s="457" t="s">
        <v>676</v>
      </c>
      <c r="E100" s="457" t="s">
        <v>676</v>
      </c>
      <c r="F100" s="457" t="s">
        <v>676</v>
      </c>
      <c r="G100" s="457" t="s">
        <v>676</v>
      </c>
      <c r="H100" s="38">
        <f>H99*20/100</f>
        <v>1988.2</v>
      </c>
    </row>
    <row r="101" ht="28.5" customHeight="1" spans="2:8">
      <c r="B101" s="34">
        <v>1.03</v>
      </c>
      <c r="C101" s="36" t="s">
        <v>808</v>
      </c>
      <c r="D101" s="34" t="s">
        <v>809</v>
      </c>
      <c r="E101" s="34" t="s">
        <v>761</v>
      </c>
      <c r="F101" s="34">
        <v>1</v>
      </c>
      <c r="G101" s="75">
        <f>H141</f>
        <v>8176</v>
      </c>
      <c r="H101" s="38">
        <f t="shared" si="4"/>
        <v>8176</v>
      </c>
    </row>
    <row r="102" ht="20.1" customHeight="1" spans="2:8">
      <c r="B102" s="34">
        <v>1.04</v>
      </c>
      <c r="C102" s="36" t="s">
        <v>810</v>
      </c>
      <c r="D102" s="457" t="s">
        <v>676</v>
      </c>
      <c r="E102" s="457" t="s">
        <v>676</v>
      </c>
      <c r="F102" s="457" t="s">
        <v>676</v>
      </c>
      <c r="G102" s="457" t="s">
        <v>676</v>
      </c>
      <c r="H102" s="38">
        <f>H101*20/100</f>
        <v>1635.2</v>
      </c>
    </row>
    <row r="103" ht="20.1" customHeight="1" spans="2:8">
      <c r="B103" s="34">
        <v>1.03999996185303</v>
      </c>
      <c r="C103" s="36" t="s">
        <v>797</v>
      </c>
      <c r="D103" s="34" t="s">
        <v>213</v>
      </c>
      <c r="E103" s="34" t="s">
        <v>175</v>
      </c>
      <c r="F103" s="34">
        <v>1</v>
      </c>
      <c r="G103" s="75">
        <f>'Basic Rates'!J11</f>
        <v>3500</v>
      </c>
      <c r="H103" s="38">
        <f t="shared" si="4"/>
        <v>3500</v>
      </c>
    </row>
    <row r="104" ht="20.1" customHeight="1" spans="2:8">
      <c r="B104" s="34">
        <v>1.04999995231628</v>
      </c>
      <c r="C104" s="36" t="s">
        <v>798</v>
      </c>
      <c r="D104" s="34" t="s">
        <v>209</v>
      </c>
      <c r="E104" s="34" t="s">
        <v>175</v>
      </c>
      <c r="F104" s="34">
        <v>4</v>
      </c>
      <c r="G104" s="75">
        <f>'Basic Rates'!J10</f>
        <v>2300</v>
      </c>
      <c r="H104" s="38">
        <f t="shared" si="4"/>
        <v>9200</v>
      </c>
    </row>
    <row r="105" ht="20.1" customHeight="1" spans="2:8">
      <c r="B105" s="34">
        <v>1.05999994277954</v>
      </c>
      <c r="C105" s="36" t="s">
        <v>348</v>
      </c>
      <c r="D105" s="34" t="s">
        <v>349</v>
      </c>
      <c r="E105" s="457" t="s">
        <v>180</v>
      </c>
      <c r="F105" s="34">
        <f>1*4.54</f>
        <v>4.54</v>
      </c>
      <c r="G105" s="75">
        <f>'Basic Rates'!E74</f>
        <v>35</v>
      </c>
      <c r="H105" s="38">
        <f t="shared" si="4"/>
        <v>158.9</v>
      </c>
    </row>
    <row r="106" ht="20.1" customHeight="1" spans="2:8">
      <c r="B106" s="34">
        <v>1.07000005245209</v>
      </c>
      <c r="C106" s="36" t="s">
        <v>532</v>
      </c>
      <c r="D106" s="34" t="s">
        <v>533</v>
      </c>
      <c r="E106" s="34" t="s">
        <v>199</v>
      </c>
      <c r="F106" s="34">
        <v>2</v>
      </c>
      <c r="G106" s="75">
        <f>'Basic Rates'!E165</f>
        <v>50</v>
      </c>
      <c r="H106" s="38">
        <f t="shared" si="4"/>
        <v>100</v>
      </c>
    </row>
    <row r="107" ht="20.1" customHeight="1" spans="2:8">
      <c r="B107" s="34">
        <v>1.08000004291534</v>
      </c>
      <c r="C107" s="36" t="s">
        <v>782</v>
      </c>
      <c r="D107" s="34" t="s">
        <v>213</v>
      </c>
      <c r="E107" s="457" t="s">
        <v>175</v>
      </c>
      <c r="F107" s="34">
        <v>0.5</v>
      </c>
      <c r="G107" s="75">
        <f>'Basic Rates'!J11</f>
        <v>3500</v>
      </c>
      <c r="H107" s="38">
        <f t="shared" si="4"/>
        <v>1750</v>
      </c>
    </row>
    <row r="108" ht="30.75" customHeight="1" spans="2:8">
      <c r="B108" s="34">
        <v>1.0900000333786</v>
      </c>
      <c r="C108" s="36" t="s">
        <v>783</v>
      </c>
      <c r="D108" s="34" t="s">
        <v>209</v>
      </c>
      <c r="E108" s="34" t="s">
        <v>175</v>
      </c>
      <c r="F108" s="34">
        <v>2</v>
      </c>
      <c r="G108" s="75">
        <f>'Basic Rates'!J10</f>
        <v>2300</v>
      </c>
      <c r="H108" s="38">
        <f t="shared" si="4"/>
        <v>4600</v>
      </c>
    </row>
    <row r="109" ht="20.1" customHeight="1" spans="2:8">
      <c r="B109" s="61"/>
      <c r="C109" s="61"/>
      <c r="D109" s="39" t="s">
        <v>579</v>
      </c>
      <c r="E109" s="40">
        <f>$F$97</f>
        <v>2</v>
      </c>
      <c r="F109" s="40" t="str">
        <f>$G$97</f>
        <v>Sq</v>
      </c>
      <c r="G109" s="41"/>
      <c r="H109" s="38">
        <f>SUM(H99:H108)</f>
        <v>41049.3</v>
      </c>
    </row>
    <row r="110" ht="20.1" customHeight="1" spans="2:8">
      <c r="B110" s="61"/>
      <c r="C110" s="61"/>
      <c r="D110" s="39" t="s">
        <v>580</v>
      </c>
      <c r="E110" s="40" t="str">
        <f>$G$97</f>
        <v>Sq</v>
      </c>
      <c r="F110" s="40"/>
      <c r="G110" s="41"/>
      <c r="H110" s="38">
        <f>H109/F97</f>
        <v>20524.65</v>
      </c>
    </row>
    <row r="111" s="4" customFormat="1" ht="20.1" customHeight="1" spans="1:11">
      <c r="A111" s="42"/>
      <c r="B111" s="43"/>
      <c r="C111" s="43"/>
      <c r="D111" s="44" t="s">
        <v>581</v>
      </c>
      <c r="E111" s="45"/>
      <c r="F111" s="45"/>
      <c r="G111" s="46" t="s">
        <v>784</v>
      </c>
      <c r="H111" s="79">
        <f>ROUND(H110,0)</f>
        <v>20525</v>
      </c>
      <c r="K111" s="58"/>
    </row>
    <row r="112" s="5" customFormat="1" ht="20.1" customHeight="1" spans="1:11">
      <c r="A112" s="62"/>
      <c r="B112" s="63"/>
      <c r="C112" s="63"/>
      <c r="D112" s="44" t="s">
        <v>581</v>
      </c>
      <c r="E112" s="45"/>
      <c r="F112" s="45"/>
      <c r="G112" s="46" t="s">
        <v>785</v>
      </c>
      <c r="H112" s="79">
        <f>H111/100</f>
        <v>205.25</v>
      </c>
      <c r="K112" s="69"/>
    </row>
    <row r="113" s="5" customFormat="1" ht="20.1" customHeight="1" spans="1:11">
      <c r="A113" s="62"/>
      <c r="B113" s="63"/>
      <c r="C113" s="63"/>
      <c r="D113" s="44" t="s">
        <v>581</v>
      </c>
      <c r="E113" s="45"/>
      <c r="F113" s="45"/>
      <c r="G113" s="46" t="s">
        <v>584</v>
      </c>
      <c r="H113" s="200">
        <f>H112*10.76</f>
        <v>2208.49</v>
      </c>
      <c r="K113" s="69"/>
    </row>
    <row r="114" s="4" customFormat="1" ht="20.1" customHeight="1" spans="1:8">
      <c r="A114" s="42"/>
      <c r="B114" s="42"/>
      <c r="D114" s="48" t="s">
        <v>746</v>
      </c>
      <c r="E114" s="49"/>
      <c r="F114" s="49"/>
      <c r="G114" s="193" t="s">
        <v>584</v>
      </c>
      <c r="H114" s="194">
        <f>H113</f>
        <v>2208.49</v>
      </c>
    </row>
    <row r="115" s="4" customFormat="1" ht="20.1" customHeight="1" spans="1:8">
      <c r="A115" s="42"/>
      <c r="B115" s="42"/>
      <c r="D115" s="48" t="s">
        <v>747</v>
      </c>
      <c r="E115" s="49"/>
      <c r="F115" s="49"/>
      <c r="G115" s="193" t="s">
        <v>584</v>
      </c>
      <c r="H115" s="195">
        <f>H114*1.1</f>
        <v>2429.339</v>
      </c>
    </row>
    <row r="116" s="4" customFormat="1" ht="20.1" customHeight="1" spans="1:8">
      <c r="A116" s="42"/>
      <c r="B116" s="42"/>
      <c r="D116" s="48" t="s">
        <v>748</v>
      </c>
      <c r="E116" s="49"/>
      <c r="F116" s="49"/>
      <c r="G116" s="193" t="s">
        <v>584</v>
      </c>
      <c r="H116" s="195">
        <f>H115*1.1</f>
        <v>2672.2729</v>
      </c>
    </row>
    <row r="117" s="4" customFormat="1" ht="20.1" customHeight="1" spans="1:8">
      <c r="A117" s="42"/>
      <c r="B117" s="42"/>
      <c r="D117" s="48" t="s">
        <v>749</v>
      </c>
      <c r="E117" s="49"/>
      <c r="F117" s="49"/>
      <c r="G117" s="193" t="s">
        <v>584</v>
      </c>
      <c r="H117" s="196">
        <f>H116*1.1</f>
        <v>2939.50019</v>
      </c>
    </row>
    <row r="118" s="5" customFormat="1" ht="15" customHeight="1" spans="1:11">
      <c r="A118" s="62"/>
      <c r="B118" s="63"/>
      <c r="C118" s="63"/>
      <c r="D118" s="64"/>
      <c r="E118" s="65"/>
      <c r="F118" s="65"/>
      <c r="G118" s="66"/>
      <c r="H118" s="67"/>
      <c r="K118" s="69"/>
    </row>
    <row r="119" s="4" customFormat="1" ht="16.5" customHeight="1" spans="1:8">
      <c r="A119" s="42"/>
      <c r="B119" s="42"/>
      <c r="C119" s="42"/>
      <c r="D119" s="50"/>
      <c r="E119" s="51"/>
      <c r="F119" s="51"/>
      <c r="G119" s="52"/>
      <c r="H119" s="53"/>
    </row>
    <row r="120" s="2" customFormat="1" ht="18" customHeight="1" spans="1:9">
      <c r="A120" s="29" t="s">
        <v>806</v>
      </c>
      <c r="B120" s="29"/>
      <c r="C120" s="30" t="s">
        <v>805</v>
      </c>
      <c r="D120" s="30"/>
      <c r="E120" s="30"/>
      <c r="F120" s="30"/>
      <c r="G120" s="30"/>
      <c r="H120" s="30"/>
      <c r="I120" s="57"/>
    </row>
    <row r="121" s="3" customFormat="1" ht="18" customHeight="1" spans="4:8">
      <c r="D121" s="31"/>
      <c r="E121" s="32" t="s">
        <v>570</v>
      </c>
      <c r="F121" s="31">
        <v>4</v>
      </c>
      <c r="G121" s="32" t="s">
        <v>786</v>
      </c>
      <c r="H121" s="33"/>
    </row>
    <row r="122" ht="15" customHeight="1" spans="2:8">
      <c r="B122" s="34" t="s">
        <v>194</v>
      </c>
      <c r="C122" s="34" t="s">
        <v>573</v>
      </c>
      <c r="D122" s="34" t="s">
        <v>574</v>
      </c>
      <c r="E122" s="34" t="s">
        <v>6</v>
      </c>
      <c r="F122" s="34" t="s">
        <v>575</v>
      </c>
      <c r="G122" s="34" t="s">
        <v>576</v>
      </c>
      <c r="H122" s="35" t="s">
        <v>577</v>
      </c>
    </row>
    <row r="123" ht="20.1" customHeight="1" spans="2:8">
      <c r="B123" s="34">
        <v>1.00999999046326</v>
      </c>
      <c r="C123" s="36" t="s">
        <v>787</v>
      </c>
      <c r="D123" s="34" t="s">
        <v>494</v>
      </c>
      <c r="E123" s="34" t="s">
        <v>187</v>
      </c>
      <c r="F123" s="34">
        <v>220</v>
      </c>
      <c r="G123" s="75">
        <f>'Basic Rates'!E145</f>
        <v>65</v>
      </c>
      <c r="H123" s="38">
        <f>G123*F123</f>
        <v>14300</v>
      </c>
    </row>
    <row r="124" ht="20.1" customHeight="1" spans="2:8">
      <c r="B124" s="34">
        <v>1.01999998092651</v>
      </c>
      <c r="C124" s="36" t="s">
        <v>779</v>
      </c>
      <c r="D124" s="34" t="s">
        <v>500</v>
      </c>
      <c r="E124" s="34" t="s">
        <v>308</v>
      </c>
      <c r="F124" s="34">
        <v>121</v>
      </c>
      <c r="G124" s="75">
        <f>'Basic Rates'!E148</f>
        <v>65</v>
      </c>
      <c r="H124" s="38">
        <f>G124*F124</f>
        <v>7865</v>
      </c>
    </row>
    <row r="125" ht="20.1" customHeight="1" spans="2:8">
      <c r="B125" s="34">
        <v>1.02999997138977</v>
      </c>
      <c r="C125" s="36" t="s">
        <v>532</v>
      </c>
      <c r="D125" s="34" t="s">
        <v>533</v>
      </c>
      <c r="E125" s="457" t="s">
        <v>199</v>
      </c>
      <c r="F125" s="34">
        <v>4</v>
      </c>
      <c r="G125" s="75">
        <f>'Basic Rates'!E165</f>
        <v>50</v>
      </c>
      <c r="H125" s="38">
        <f>G125*F125</f>
        <v>200</v>
      </c>
    </row>
    <row r="126" ht="20.1" customHeight="1" spans="2:8">
      <c r="B126" s="34">
        <v>1.03999996185303</v>
      </c>
      <c r="C126" s="36" t="s">
        <v>76</v>
      </c>
      <c r="D126" s="34" t="s">
        <v>213</v>
      </c>
      <c r="E126" s="34" t="s">
        <v>175</v>
      </c>
      <c r="F126" s="34">
        <v>3</v>
      </c>
      <c r="G126" s="75">
        <f>'Basic Rates'!J11</f>
        <v>3500</v>
      </c>
      <c r="H126" s="38">
        <f>G126*F126</f>
        <v>10500</v>
      </c>
    </row>
    <row r="127" ht="20.1" customHeight="1" spans="2:8">
      <c r="B127" s="34">
        <v>1.04999995231628</v>
      </c>
      <c r="C127" s="36" t="s">
        <v>208</v>
      </c>
      <c r="D127" s="34" t="s">
        <v>209</v>
      </c>
      <c r="E127" s="34" t="s">
        <v>175</v>
      </c>
      <c r="F127" s="34">
        <v>3</v>
      </c>
      <c r="G127" s="75">
        <f>'Basic Rates'!J10</f>
        <v>2300</v>
      </c>
      <c r="H127" s="38">
        <f>G127*F127</f>
        <v>6900</v>
      </c>
    </row>
    <row r="128" ht="20.1" customHeight="1" spans="2:8">
      <c r="B128" s="61"/>
      <c r="C128" s="61"/>
      <c r="D128" s="39" t="s">
        <v>579</v>
      </c>
      <c r="E128" s="40">
        <f>$F$121</f>
        <v>4</v>
      </c>
      <c r="F128" s="40" t="str">
        <f>$G$121</f>
        <v>Uses</v>
      </c>
      <c r="G128" s="41"/>
      <c r="H128" s="38">
        <f>SUM(H123:H127)</f>
        <v>39765</v>
      </c>
    </row>
    <row r="129" ht="20.1" customHeight="1" spans="2:8">
      <c r="B129" s="61"/>
      <c r="C129" s="61"/>
      <c r="D129" s="39" t="s">
        <v>580</v>
      </c>
      <c r="E129" s="40" t="str">
        <f>$G$121</f>
        <v>Uses</v>
      </c>
      <c r="F129" s="40"/>
      <c r="G129" s="41"/>
      <c r="H129" s="38">
        <f>H128/F121</f>
        <v>9941.25</v>
      </c>
    </row>
    <row r="130" s="4" customFormat="1" ht="20.1" customHeight="1" spans="1:11">
      <c r="A130" s="42"/>
      <c r="B130" s="43"/>
      <c r="C130" s="43"/>
      <c r="D130" s="44" t="s">
        <v>581</v>
      </c>
      <c r="E130" s="45"/>
      <c r="F130" s="45"/>
      <c r="G130" s="78"/>
      <c r="H130" s="79">
        <f>ROUND(H129,0)</f>
        <v>9941</v>
      </c>
      <c r="K130" s="58"/>
    </row>
    <row r="131" s="4" customFormat="1" ht="15" customHeight="1" spans="1:8">
      <c r="A131" s="42"/>
      <c r="B131" s="42"/>
      <c r="C131" s="42"/>
      <c r="D131" s="50"/>
      <c r="E131" s="51"/>
      <c r="F131" s="51"/>
      <c r="G131" s="52"/>
      <c r="H131" s="53"/>
    </row>
    <row r="132" s="2" customFormat="1" ht="18.75" customHeight="1" spans="1:9">
      <c r="A132" s="29" t="s">
        <v>809</v>
      </c>
      <c r="B132" s="29"/>
      <c r="C132" s="30" t="s">
        <v>811</v>
      </c>
      <c r="D132" s="30"/>
      <c r="E132" s="30"/>
      <c r="F132" s="30"/>
      <c r="G132" s="30"/>
      <c r="H132" s="30"/>
      <c r="I132" s="57"/>
    </row>
    <row r="133" s="3" customFormat="1" ht="18" customHeight="1" spans="4:8">
      <c r="D133" s="31"/>
      <c r="E133" s="32" t="s">
        <v>570</v>
      </c>
      <c r="F133" s="31">
        <v>6</v>
      </c>
      <c r="G133" s="32" t="s">
        <v>786</v>
      </c>
      <c r="H133" s="33"/>
    </row>
    <row r="134" ht="15" customHeight="1" spans="2:8">
      <c r="B134" s="34" t="s">
        <v>194</v>
      </c>
      <c r="C134" s="34" t="s">
        <v>573</v>
      </c>
      <c r="D134" s="34" t="s">
        <v>574</v>
      </c>
      <c r="E134" s="34" t="s">
        <v>6</v>
      </c>
      <c r="F134" s="34" t="s">
        <v>575</v>
      </c>
      <c r="G134" s="34" t="s">
        <v>576</v>
      </c>
      <c r="H134" s="35" t="s">
        <v>577</v>
      </c>
    </row>
    <row r="135" ht="20.1" customHeight="1" spans="2:8">
      <c r="B135" s="34">
        <v>1.01</v>
      </c>
      <c r="C135" s="36" t="s">
        <v>779</v>
      </c>
      <c r="D135" s="34" t="s">
        <v>500</v>
      </c>
      <c r="E135" s="34" t="s">
        <v>308</v>
      </c>
      <c r="F135" s="34">
        <v>690</v>
      </c>
      <c r="G135" s="75">
        <f>'Basic Rates'!$E$148</f>
        <v>65</v>
      </c>
      <c r="H135" s="38">
        <f>G135*F135</f>
        <v>44850</v>
      </c>
    </row>
    <row r="136" ht="20.1" customHeight="1" spans="2:8">
      <c r="B136" s="34">
        <v>1.02</v>
      </c>
      <c r="C136" s="36" t="s">
        <v>788</v>
      </c>
      <c r="D136" s="34" t="s">
        <v>498</v>
      </c>
      <c r="E136" s="34" t="s">
        <v>308</v>
      </c>
      <c r="F136" s="34">
        <v>66</v>
      </c>
      <c r="G136" s="75">
        <f>'Basic Rates'!$E$147</f>
        <v>22</v>
      </c>
      <c r="H136" s="38">
        <f>G136*F136</f>
        <v>1452</v>
      </c>
    </row>
    <row r="137" ht="20.1" customHeight="1" spans="2:8">
      <c r="B137" s="34">
        <v>1.03</v>
      </c>
      <c r="C137" s="36" t="s">
        <v>513</v>
      </c>
      <c r="D137" s="34" t="s">
        <v>514</v>
      </c>
      <c r="E137" s="457" t="s">
        <v>194</v>
      </c>
      <c r="F137" s="34">
        <v>122</v>
      </c>
      <c r="G137" s="75">
        <f>'Basic Rates'!$E$155</f>
        <v>5</v>
      </c>
      <c r="H137" s="38">
        <f>G137*F137</f>
        <v>610</v>
      </c>
    </row>
    <row r="138" ht="20.1" customHeight="1" spans="2:8">
      <c r="B138" s="34">
        <v>1.04</v>
      </c>
      <c r="C138" s="36" t="s">
        <v>787</v>
      </c>
      <c r="D138" s="34" t="s">
        <v>494</v>
      </c>
      <c r="E138" s="34" t="s">
        <v>187</v>
      </c>
      <c r="F138" s="34">
        <v>33</v>
      </c>
      <c r="G138" s="75">
        <f>'Basic Rates'!$E$145</f>
        <v>65</v>
      </c>
      <c r="H138" s="38">
        <f>G138*F138</f>
        <v>2145</v>
      </c>
    </row>
    <row r="139" ht="20.1" customHeight="1" spans="2:8">
      <c r="B139" s="61"/>
      <c r="C139" s="61"/>
      <c r="D139" s="39" t="s">
        <v>579</v>
      </c>
      <c r="E139" s="40">
        <f>$F$133</f>
        <v>6</v>
      </c>
      <c r="F139" s="40" t="str">
        <f>$G$133</f>
        <v>Uses</v>
      </c>
      <c r="G139" s="41"/>
      <c r="H139" s="38">
        <f>SUM(H135:H138)</f>
        <v>49057</v>
      </c>
    </row>
    <row r="140" ht="20.1" customHeight="1" spans="2:8">
      <c r="B140" s="61"/>
      <c r="C140" s="61"/>
      <c r="D140" s="39" t="s">
        <v>580</v>
      </c>
      <c r="E140" s="40" t="str">
        <f>$G$133</f>
        <v>Uses</v>
      </c>
      <c r="F140" s="40"/>
      <c r="G140" s="41"/>
      <c r="H140" s="38">
        <f>H139/F133</f>
        <v>8176.16666666667</v>
      </c>
    </row>
    <row r="141" s="4" customFormat="1" ht="20.1" customHeight="1" spans="1:11">
      <c r="A141" s="42"/>
      <c r="B141" s="43"/>
      <c r="C141" s="43"/>
      <c r="D141" s="44" t="s">
        <v>581</v>
      </c>
      <c r="E141" s="45"/>
      <c r="F141" s="45"/>
      <c r="G141" s="78"/>
      <c r="H141" s="79">
        <f>ROUND(H140,0)</f>
        <v>8176</v>
      </c>
      <c r="K141" s="58"/>
    </row>
  </sheetData>
  <mergeCells count="17">
    <mergeCell ref="A2:H2"/>
    <mergeCell ref="A10:B10"/>
    <mergeCell ref="C10:H10"/>
    <mergeCell ref="A31:B31"/>
    <mergeCell ref="C31:H31"/>
    <mergeCell ref="A46:B46"/>
    <mergeCell ref="C46:H46"/>
    <mergeCell ref="A69:B69"/>
    <mergeCell ref="C69:H69"/>
    <mergeCell ref="A83:B83"/>
    <mergeCell ref="C83:H83"/>
    <mergeCell ref="A96:B96"/>
    <mergeCell ref="C96:H96"/>
    <mergeCell ref="A120:B120"/>
    <mergeCell ref="C120:H120"/>
    <mergeCell ref="A132:B132"/>
    <mergeCell ref="C132:H132"/>
  </mergeCells>
  <hyperlinks>
    <hyperlink ref="C4" location="'06'!I14" display="Column"/>
    <hyperlink ref="C5" location="'06'!I52" display="Beam"/>
    <hyperlink ref="C6" location="'06'!I108" display="Slab"/>
  </hyperlinks>
  <printOptions horizontalCentered="1"/>
  <pageMargins left="0.5" right="0.5" top="0.17" bottom="0.35" header="0" footer="0.15"/>
  <pageSetup paperSize="9" orientation="portrait" horizontalDpi="300" verticalDpi="300"/>
  <headerFooter alignWithMargins="0">
    <oddHeader>&amp;R&amp;08 Page &amp;P Of &amp;N</oddHeader>
    <oddFooter>&amp;LSDS&amp;R&amp;D</oddFooter>
  </headerFooter>
  <rowBreaks count="2" manualBreakCount="2">
    <brk id="45" max="7" man="1"/>
    <brk id="82" max="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indexed="46"/>
  </sheetPr>
  <dimension ref="A1:K35"/>
  <sheetViews>
    <sheetView topLeftCell="A19" workbookViewId="0">
      <selection activeCell="K24" sqref="K24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8571428571429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16384" width="9.14285714285714" style="6"/>
  </cols>
  <sheetData>
    <row r="1" ht="9" customHeight="1"/>
    <row r="2" ht="20.1" customHeight="1" spans="1:9">
      <c r="A2" s="186" t="s">
        <v>812</v>
      </c>
      <c r="B2" s="186"/>
      <c r="C2" s="186"/>
      <c r="D2" s="186"/>
      <c r="E2" s="186"/>
      <c r="F2" s="186"/>
      <c r="G2" s="186"/>
      <c r="H2" s="186"/>
      <c r="I2" s="54"/>
    </row>
    <row r="3" customHeight="1"/>
    <row r="4" s="2" customFormat="1" ht="30" customHeight="1" spans="1:9">
      <c r="A4" s="73">
        <v>7.01</v>
      </c>
      <c r="B4" s="74"/>
      <c r="C4" s="30" t="s">
        <v>813</v>
      </c>
      <c r="D4" s="30"/>
      <c r="E4" s="30"/>
      <c r="F4" s="30"/>
      <c r="G4" s="30"/>
      <c r="H4" s="30"/>
      <c r="I4" s="57"/>
    </row>
    <row r="5" s="3" customFormat="1" ht="18" customHeight="1" spans="4:8">
      <c r="D5" s="31"/>
      <c r="E5" s="32" t="s">
        <v>570</v>
      </c>
      <c r="F5" s="31">
        <v>1</v>
      </c>
      <c r="G5" s="32" t="s">
        <v>814</v>
      </c>
      <c r="H5" s="33"/>
    </row>
    <row r="6" ht="15" customHeight="1" spans="2:8">
      <c r="B6" s="34" t="s">
        <v>194</v>
      </c>
      <c r="C6" s="34" t="s">
        <v>573</v>
      </c>
      <c r="D6" s="34" t="s">
        <v>574</v>
      </c>
      <c r="E6" s="34" t="s">
        <v>6</v>
      </c>
      <c r="F6" s="34" t="s">
        <v>575</v>
      </c>
      <c r="G6" s="34" t="s">
        <v>576</v>
      </c>
      <c r="H6" s="35" t="s">
        <v>577</v>
      </c>
    </row>
    <row r="7" ht="28.5" customHeight="1" spans="2:8">
      <c r="B7" s="34">
        <v>1.00999999046326</v>
      </c>
      <c r="C7" s="36" t="s">
        <v>815</v>
      </c>
      <c r="D7" s="34" t="s">
        <v>516</v>
      </c>
      <c r="E7" s="34" t="s">
        <v>816</v>
      </c>
      <c r="F7" s="34">
        <v>50</v>
      </c>
      <c r="G7" s="75">
        <f>'Basic Rates'!E156</f>
        <v>68</v>
      </c>
      <c r="H7" s="38">
        <f>G7*F7</f>
        <v>3400</v>
      </c>
    </row>
    <row r="8" ht="25.5" customHeight="1" spans="2:8">
      <c r="B8" s="34">
        <v>1.01999998092651</v>
      </c>
      <c r="C8" s="36" t="s">
        <v>817</v>
      </c>
      <c r="D8" s="457" t="s">
        <v>676</v>
      </c>
      <c r="E8" s="457" t="s">
        <v>676</v>
      </c>
      <c r="F8" s="457" t="s">
        <v>676</v>
      </c>
      <c r="G8" s="457" t="s">
        <v>676</v>
      </c>
      <c r="H8" s="38">
        <f>H7*15/100</f>
        <v>510</v>
      </c>
    </row>
    <row r="9" ht="20.1" customHeight="1" spans="2:8">
      <c r="B9" s="34">
        <v>1.02999997138977</v>
      </c>
      <c r="C9" s="36" t="s">
        <v>818</v>
      </c>
      <c r="D9" s="34" t="s">
        <v>198</v>
      </c>
      <c r="E9" s="34" t="s">
        <v>199</v>
      </c>
      <c r="F9" s="34">
        <v>1.5</v>
      </c>
      <c r="G9" s="75">
        <f>'Basic Rates'!E8</f>
        <v>560</v>
      </c>
      <c r="H9" s="38">
        <f>G9*F9</f>
        <v>840</v>
      </c>
    </row>
    <row r="10" ht="26.25" customHeight="1" spans="2:8">
      <c r="B10" s="34">
        <v>1.03999996185303</v>
      </c>
      <c r="C10" s="36" t="s">
        <v>819</v>
      </c>
      <c r="D10" s="457" t="s">
        <v>676</v>
      </c>
      <c r="E10" s="457" t="s">
        <v>676</v>
      </c>
      <c r="F10" s="457" t="s">
        <v>676</v>
      </c>
      <c r="G10" s="457" t="s">
        <v>676</v>
      </c>
      <c r="H10" s="38">
        <f>H7*0.015</f>
        <v>51</v>
      </c>
    </row>
    <row r="11" ht="20.1" customHeight="1" spans="2:8">
      <c r="B11" s="34">
        <v>1.04999995231628</v>
      </c>
      <c r="C11" s="36" t="s">
        <v>188</v>
      </c>
      <c r="D11" s="34" t="s">
        <v>189</v>
      </c>
      <c r="E11" s="34" t="s">
        <v>175</v>
      </c>
      <c r="F11" s="34">
        <v>1</v>
      </c>
      <c r="G11" s="75">
        <f>'Basic Rates'!J6</f>
        <v>3500</v>
      </c>
      <c r="H11" s="38">
        <f>G11*F11</f>
        <v>3500</v>
      </c>
    </row>
    <row r="12" ht="20.1" customHeight="1" spans="2:8">
      <c r="B12" s="34">
        <v>1.05999994277954</v>
      </c>
      <c r="C12" s="36" t="s">
        <v>208</v>
      </c>
      <c r="D12" s="34" t="s">
        <v>209</v>
      </c>
      <c r="E12" s="34" t="s">
        <v>175</v>
      </c>
      <c r="F12" s="34">
        <v>1</v>
      </c>
      <c r="G12" s="75">
        <f>'Basic Rates'!J10</f>
        <v>2300</v>
      </c>
      <c r="H12" s="38">
        <f>G12*F12</f>
        <v>2300</v>
      </c>
    </row>
    <row r="13" ht="20.1" customHeight="1" spans="2:8">
      <c r="B13" s="61"/>
      <c r="C13" s="61"/>
      <c r="D13" s="39" t="s">
        <v>579</v>
      </c>
      <c r="E13" s="40">
        <f>$F$5</f>
        <v>1</v>
      </c>
      <c r="F13" s="40" t="str">
        <f>$G$5</f>
        <v>Cwt.</v>
      </c>
      <c r="G13" s="41"/>
      <c r="H13" s="38">
        <f>SUM(H7:H12)</f>
        <v>10601</v>
      </c>
    </row>
    <row r="14" ht="20.1" customHeight="1" spans="2:8">
      <c r="B14" s="61"/>
      <c r="C14" s="61"/>
      <c r="D14" s="39" t="s">
        <v>580</v>
      </c>
      <c r="E14" s="40" t="str">
        <f>$G$5</f>
        <v>Cwt.</v>
      </c>
      <c r="F14" s="40"/>
      <c r="G14" s="41"/>
      <c r="H14" s="38">
        <f>H13/F5</f>
        <v>10601</v>
      </c>
    </row>
    <row r="15" s="4" customFormat="1" ht="21.75" customHeight="1" spans="1:11">
      <c r="A15" s="42"/>
      <c r="B15" s="43"/>
      <c r="C15" s="43"/>
      <c r="D15" s="44" t="s">
        <v>581</v>
      </c>
      <c r="E15" s="45"/>
      <c r="F15" s="45"/>
      <c r="G15" s="46" t="s">
        <v>820</v>
      </c>
      <c r="H15" s="47">
        <f>ROUND(H14,0)</f>
        <v>10601</v>
      </c>
      <c r="K15" s="58"/>
    </row>
    <row r="16" s="4" customFormat="1" ht="21.75" customHeight="1" spans="1:11">
      <c r="A16" s="42"/>
      <c r="B16" s="43"/>
      <c r="C16" s="43"/>
      <c r="D16" s="44" t="s">
        <v>581</v>
      </c>
      <c r="E16" s="45"/>
      <c r="F16" s="45"/>
      <c r="G16" s="46" t="s">
        <v>821</v>
      </c>
      <c r="H16" s="47">
        <f>H15/50</f>
        <v>212.02</v>
      </c>
      <c r="K16" s="58"/>
    </row>
    <row r="17" s="4" customFormat="1" ht="17.25" customHeight="1" spans="4:8">
      <c r="D17" s="146"/>
      <c r="E17" s="147"/>
      <c r="F17" s="147"/>
      <c r="G17" s="148"/>
      <c r="H17" s="149"/>
    </row>
    <row r="18" spans="3:3">
      <c r="C18" s="8"/>
    </row>
    <row r="19" s="2" customFormat="1" ht="30" customHeight="1" spans="1:9">
      <c r="A19" s="73">
        <v>7.02</v>
      </c>
      <c r="B19" s="74"/>
      <c r="C19" s="30" t="s">
        <v>822</v>
      </c>
      <c r="D19" s="30"/>
      <c r="E19" s="30"/>
      <c r="F19" s="30"/>
      <c r="G19" s="30"/>
      <c r="H19" s="30"/>
      <c r="I19" s="57"/>
    </row>
    <row r="20" s="3" customFormat="1" ht="18" customHeight="1" spans="4:8">
      <c r="D20" s="31"/>
      <c r="E20" s="32" t="s">
        <v>570</v>
      </c>
      <c r="F20" s="31">
        <v>1</v>
      </c>
      <c r="G20" s="32" t="s">
        <v>814</v>
      </c>
      <c r="H20" s="33"/>
    </row>
    <row r="21" ht="15" customHeight="1" spans="2:8">
      <c r="B21" s="34" t="s">
        <v>194</v>
      </c>
      <c r="C21" s="34" t="s">
        <v>573</v>
      </c>
      <c r="D21" s="34" t="s">
        <v>574</v>
      </c>
      <c r="E21" s="34" t="s">
        <v>6</v>
      </c>
      <c r="F21" s="34" t="s">
        <v>575</v>
      </c>
      <c r="G21" s="34" t="s">
        <v>576</v>
      </c>
      <c r="H21" s="35" t="s">
        <v>577</v>
      </c>
    </row>
    <row r="22" ht="28.5" customHeight="1" spans="2:8">
      <c r="B22" s="34">
        <v>1.00999999046326</v>
      </c>
      <c r="C22" s="36" t="s">
        <v>815</v>
      </c>
      <c r="D22" s="34" t="s">
        <v>343</v>
      </c>
      <c r="E22" s="34" t="s">
        <v>816</v>
      </c>
      <c r="F22" s="34">
        <v>50</v>
      </c>
      <c r="G22" s="75">
        <f>'Basic Rates'!E71</f>
        <v>68</v>
      </c>
      <c r="H22" s="38">
        <f>G22*F22</f>
        <v>3400</v>
      </c>
    </row>
    <row r="23" ht="25.5" customHeight="1" spans="2:8">
      <c r="B23" s="34">
        <v>1.01999998092651</v>
      </c>
      <c r="C23" s="36" t="s">
        <v>817</v>
      </c>
      <c r="D23" s="457" t="s">
        <v>676</v>
      </c>
      <c r="E23" s="457" t="s">
        <v>676</v>
      </c>
      <c r="F23" s="457" t="s">
        <v>676</v>
      </c>
      <c r="G23" s="457" t="s">
        <v>676</v>
      </c>
      <c r="H23" s="38">
        <f>H22*15/100</f>
        <v>510</v>
      </c>
    </row>
    <row r="24" ht="20.1" customHeight="1" spans="2:8">
      <c r="B24" s="34">
        <v>1.02999997138977</v>
      </c>
      <c r="C24" s="36" t="s">
        <v>818</v>
      </c>
      <c r="D24" s="34" t="s">
        <v>198</v>
      </c>
      <c r="E24" s="34" t="s">
        <v>199</v>
      </c>
      <c r="F24" s="34">
        <v>1.5</v>
      </c>
      <c r="G24" s="75">
        <f>'Basic Rates'!$E$8</f>
        <v>560</v>
      </c>
      <c r="H24" s="38">
        <f>G24*F24</f>
        <v>840</v>
      </c>
    </row>
    <row r="25" ht="20.1" customHeight="1" spans="2:8">
      <c r="B25" s="34">
        <v>1.03999996185303</v>
      </c>
      <c r="C25" s="36" t="s">
        <v>188</v>
      </c>
      <c r="D25" s="34" t="s">
        <v>189</v>
      </c>
      <c r="E25" s="34" t="s">
        <v>175</v>
      </c>
      <c r="F25" s="34">
        <v>1</v>
      </c>
      <c r="G25" s="75">
        <f>'Basic Rates'!$J$6</f>
        <v>3500</v>
      </c>
      <c r="H25" s="38">
        <f>G25*F25</f>
        <v>3500</v>
      </c>
    </row>
    <row r="26" ht="20.1" customHeight="1" spans="2:8">
      <c r="B26" s="34">
        <v>1.04999995231628</v>
      </c>
      <c r="C26" s="36" t="s">
        <v>208</v>
      </c>
      <c r="D26" s="34" t="s">
        <v>209</v>
      </c>
      <c r="E26" s="34" t="s">
        <v>175</v>
      </c>
      <c r="F26" s="34">
        <v>1</v>
      </c>
      <c r="G26" s="75">
        <f>'Basic Rates'!$J$10</f>
        <v>2300</v>
      </c>
      <c r="H26" s="38">
        <f>G26*F26</f>
        <v>2300</v>
      </c>
    </row>
    <row r="27" ht="20.1" customHeight="1" spans="2:8">
      <c r="B27" s="61"/>
      <c r="C27" s="61"/>
      <c r="D27" s="39" t="s">
        <v>579</v>
      </c>
      <c r="E27" s="40">
        <f>$F$5</f>
        <v>1</v>
      </c>
      <c r="F27" s="40" t="str">
        <f>$G$5</f>
        <v>Cwt.</v>
      </c>
      <c r="G27" s="41"/>
      <c r="H27" s="38">
        <f>SUM(H22:H26)</f>
        <v>10550</v>
      </c>
    </row>
    <row r="28" ht="20.1" customHeight="1" spans="2:8">
      <c r="B28" s="61"/>
      <c r="C28" s="61"/>
      <c r="D28" s="39" t="s">
        <v>580</v>
      </c>
      <c r="E28" s="40" t="str">
        <f>$G$5</f>
        <v>Cwt.</v>
      </c>
      <c r="F28" s="40"/>
      <c r="G28" s="41"/>
      <c r="H28" s="38">
        <f>H27/F20</f>
        <v>10550</v>
      </c>
    </row>
    <row r="29" s="4" customFormat="1" ht="21.75" customHeight="1" spans="1:11">
      <c r="A29" s="42"/>
      <c r="B29" s="43"/>
      <c r="C29" s="43"/>
      <c r="D29" s="44" t="s">
        <v>581</v>
      </c>
      <c r="E29" s="45"/>
      <c r="F29" s="45"/>
      <c r="G29" s="46" t="s">
        <v>820</v>
      </c>
      <c r="H29" s="47">
        <f>ROUND(H28,0)</f>
        <v>10550</v>
      </c>
      <c r="K29" s="58"/>
    </row>
    <row r="30" s="4" customFormat="1" ht="21.75" customHeight="1" spans="1:11">
      <c r="A30" s="42"/>
      <c r="B30" s="43"/>
      <c r="C30" s="43"/>
      <c r="D30" s="44" t="s">
        <v>581</v>
      </c>
      <c r="E30" s="45"/>
      <c r="F30" s="45"/>
      <c r="G30" s="46" t="s">
        <v>821</v>
      </c>
      <c r="H30" s="47">
        <f>H29/50</f>
        <v>211</v>
      </c>
      <c r="K30" s="58"/>
    </row>
    <row r="35" spans="3:3">
      <c r="C35" s="8"/>
    </row>
  </sheetData>
  <mergeCells count="5">
    <mergeCell ref="A2:H2"/>
    <mergeCell ref="A4:B4"/>
    <mergeCell ref="C4:H4"/>
    <mergeCell ref="A19:B19"/>
    <mergeCell ref="C19:H19"/>
  </mergeCell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indexed="13"/>
  </sheetPr>
  <dimension ref="A1:K63"/>
  <sheetViews>
    <sheetView topLeftCell="A22" workbookViewId="0">
      <selection activeCell="G54" sqref="G54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6" style="6" customWidth="1"/>
    <col min="4" max="4" width="7.57142857142857" style="7" customWidth="1"/>
    <col min="5" max="5" width="7.42857142857143" style="7" customWidth="1"/>
    <col min="6" max="6" width="7" style="7" customWidth="1"/>
    <col min="7" max="7" width="9.14285714285714" style="8"/>
    <col min="8" max="8" width="11.8571428571429" style="9" customWidth="1"/>
    <col min="9" max="16384" width="9.14285714285714" style="6"/>
  </cols>
  <sheetData>
    <row r="1" ht="9" customHeight="1"/>
    <row r="2" ht="24" customHeight="1" spans="1:9">
      <c r="A2" s="184" t="s">
        <v>823</v>
      </c>
      <c r="B2" s="184"/>
      <c r="C2" s="184"/>
      <c r="D2" s="184"/>
      <c r="E2" s="184"/>
      <c r="F2" s="184"/>
      <c r="G2" s="184"/>
      <c r="H2" s="184"/>
      <c r="I2" s="185"/>
    </row>
    <row r="3" ht="9" customHeight="1"/>
    <row r="4" s="2" customFormat="1" ht="23.25" customHeight="1" spans="1:9">
      <c r="A4" s="456" t="s">
        <v>824</v>
      </c>
      <c r="B4" s="74"/>
      <c r="C4" s="30" t="s">
        <v>825</v>
      </c>
      <c r="D4" s="30"/>
      <c r="E4" s="30"/>
      <c r="F4" s="30"/>
      <c r="G4" s="30"/>
      <c r="H4" s="30"/>
      <c r="I4" s="57"/>
    </row>
    <row r="5" s="3" customFormat="1" ht="18" customHeight="1" spans="4:8">
      <c r="D5" s="31"/>
      <c r="E5" s="32" t="s">
        <v>570</v>
      </c>
      <c r="F5" s="31">
        <v>1</v>
      </c>
      <c r="G5" s="32" t="s">
        <v>571</v>
      </c>
      <c r="H5" s="33"/>
    </row>
    <row r="6" ht="15" customHeight="1" spans="2:8">
      <c r="B6" s="34" t="s">
        <v>194</v>
      </c>
      <c r="C6" s="34" t="s">
        <v>573</v>
      </c>
      <c r="D6" s="34" t="s">
        <v>574</v>
      </c>
      <c r="E6" s="34" t="s">
        <v>6</v>
      </c>
      <c r="F6" s="34" t="s">
        <v>575</v>
      </c>
      <c r="G6" s="34" t="s">
        <v>576</v>
      </c>
      <c r="H6" s="35" t="s">
        <v>577</v>
      </c>
    </row>
    <row r="7" ht="20.45" customHeight="1" spans="2:8">
      <c r="B7" s="34">
        <v>1.00999999046326</v>
      </c>
      <c r="C7" s="36" t="s">
        <v>826</v>
      </c>
      <c r="D7" s="34" t="s">
        <v>320</v>
      </c>
      <c r="E7" s="457" t="s">
        <v>194</v>
      </c>
      <c r="F7" s="34">
        <v>112</v>
      </c>
      <c r="G7" s="75">
        <f>'Basic Rates'!E60</f>
        <v>180</v>
      </c>
      <c r="H7" s="38">
        <f>G7*F7</f>
        <v>20160</v>
      </c>
    </row>
    <row r="8" ht="20.45" customHeight="1" spans="2:8">
      <c r="B8" s="34">
        <v>1.01999998092651</v>
      </c>
      <c r="C8" s="36" t="s">
        <v>715</v>
      </c>
      <c r="D8" s="457" t="s">
        <v>676</v>
      </c>
      <c r="E8" s="457" t="s">
        <v>676</v>
      </c>
      <c r="F8" s="457" t="s">
        <v>676</v>
      </c>
      <c r="G8" s="457" t="s">
        <v>676</v>
      </c>
      <c r="H8" s="38">
        <f>H7*5/100</f>
        <v>1008</v>
      </c>
    </row>
    <row r="9" ht="20.45" customHeight="1" spans="2:8">
      <c r="B9" s="34">
        <v>1.02999997138977</v>
      </c>
      <c r="C9" s="36" t="s">
        <v>24</v>
      </c>
      <c r="D9" s="34" t="s">
        <v>253</v>
      </c>
      <c r="E9" s="34" t="s">
        <v>254</v>
      </c>
      <c r="F9" s="34">
        <v>0.75</v>
      </c>
      <c r="G9" s="75">
        <f>'Basic Rates'!E29</f>
        <v>2400</v>
      </c>
      <c r="H9" s="38">
        <f>G9*F9</f>
        <v>1800</v>
      </c>
    </row>
    <row r="10" ht="20.45" customHeight="1" spans="2:8">
      <c r="B10" s="34">
        <v>1.03999996185303</v>
      </c>
      <c r="C10" s="36" t="s">
        <v>28</v>
      </c>
      <c r="D10" s="34" t="s">
        <v>433</v>
      </c>
      <c r="E10" s="34" t="s">
        <v>288</v>
      </c>
      <c r="F10" s="34">
        <v>0.06</v>
      </c>
      <c r="G10" s="75">
        <f>'Basic Rates'!E116</f>
        <v>18000</v>
      </c>
      <c r="H10" s="38">
        <f>G10*F10</f>
        <v>1080</v>
      </c>
    </row>
    <row r="11" ht="20.45" customHeight="1" spans="2:8">
      <c r="B11" s="34">
        <v>1.04999995231628</v>
      </c>
      <c r="C11" s="36" t="s">
        <v>217</v>
      </c>
      <c r="D11" s="34" t="s">
        <v>218</v>
      </c>
      <c r="E11" s="457" t="s">
        <v>175</v>
      </c>
      <c r="F11" s="34">
        <v>1.5</v>
      </c>
      <c r="G11" s="75">
        <f>'Basic Rates'!J12</f>
        <v>3500</v>
      </c>
      <c r="H11" s="38">
        <f>G11*F11</f>
        <v>5250</v>
      </c>
    </row>
    <row r="12" ht="20.45" customHeight="1" spans="2:8">
      <c r="B12" s="34">
        <v>1.05999994277954</v>
      </c>
      <c r="C12" s="36" t="s">
        <v>208</v>
      </c>
      <c r="D12" s="34" t="s">
        <v>209</v>
      </c>
      <c r="E12" s="34" t="s">
        <v>175</v>
      </c>
      <c r="F12" s="34">
        <v>2.5</v>
      </c>
      <c r="G12" s="75">
        <f>'Basic Rates'!J10</f>
        <v>2300</v>
      </c>
      <c r="H12" s="38">
        <f>G12*F12</f>
        <v>5750</v>
      </c>
    </row>
    <row r="13" ht="30.95" customHeight="1" spans="2:8">
      <c r="B13" s="34">
        <v>1.07000005245209</v>
      </c>
      <c r="C13" s="36" t="s">
        <v>675</v>
      </c>
      <c r="D13" s="457" t="s">
        <v>676</v>
      </c>
      <c r="E13" s="457" t="s">
        <v>676</v>
      </c>
      <c r="F13" s="457" t="s">
        <v>676</v>
      </c>
      <c r="G13" s="457" t="s">
        <v>676</v>
      </c>
      <c r="H13" s="38">
        <f>(H11+H12)*3/100</f>
        <v>330</v>
      </c>
    </row>
    <row r="14" ht="20.45" customHeight="1" spans="2:8">
      <c r="B14" s="61"/>
      <c r="C14" s="61"/>
      <c r="D14" s="39" t="s">
        <v>579</v>
      </c>
      <c r="E14" s="40">
        <f>$F$5</f>
        <v>1</v>
      </c>
      <c r="F14" s="40" t="str">
        <f>$G$5</f>
        <v>Sqr</v>
      </c>
      <c r="G14" s="41"/>
      <c r="H14" s="38">
        <f>SUM(H7:H13)</f>
        <v>35378</v>
      </c>
    </row>
    <row r="15" ht="20.45" customHeight="1" spans="2:8">
      <c r="B15" s="61"/>
      <c r="C15" s="61"/>
      <c r="D15" s="39" t="s">
        <v>580</v>
      </c>
      <c r="E15" s="40" t="str">
        <f>$G$5</f>
        <v>Sqr</v>
      </c>
      <c r="F15" s="40"/>
      <c r="G15" s="41"/>
      <c r="H15" s="38">
        <f>H14/F5</f>
        <v>35378</v>
      </c>
    </row>
    <row r="16" s="4" customFormat="1" ht="20.1" customHeight="1" spans="1:11">
      <c r="A16" s="42"/>
      <c r="B16" s="43"/>
      <c r="C16" s="43"/>
      <c r="D16" s="44" t="s">
        <v>581</v>
      </c>
      <c r="E16" s="45"/>
      <c r="F16" s="45"/>
      <c r="G16" s="46" t="s">
        <v>757</v>
      </c>
      <c r="H16" s="47">
        <f>ROUND(H15,0)</f>
        <v>35378</v>
      </c>
      <c r="K16" s="58"/>
    </row>
    <row r="17" s="4" customFormat="1" ht="20.1" customHeight="1" spans="1:11">
      <c r="A17" s="42"/>
      <c r="B17" s="43"/>
      <c r="C17" s="43"/>
      <c r="D17" s="44" t="s">
        <v>581</v>
      </c>
      <c r="E17" s="45"/>
      <c r="F17" s="45"/>
      <c r="G17" s="46" t="s">
        <v>785</v>
      </c>
      <c r="H17" s="47">
        <f>H16/100</f>
        <v>353.78</v>
      </c>
      <c r="K17" s="58"/>
    </row>
    <row r="18" s="4" customFormat="1" ht="20.1" customHeight="1" spans="1:11">
      <c r="A18" s="42"/>
      <c r="B18" s="43"/>
      <c r="C18" s="6"/>
      <c r="D18" s="44" t="s">
        <v>581</v>
      </c>
      <c r="E18" s="45"/>
      <c r="F18" s="45"/>
      <c r="G18" s="46" t="s">
        <v>584</v>
      </c>
      <c r="H18" s="47">
        <f>H17*10.76</f>
        <v>3806.6728</v>
      </c>
      <c r="K18" s="58"/>
    </row>
    <row r="19" s="4" customFormat="1" ht="20.1" customHeight="1" spans="1:8">
      <c r="A19" s="42"/>
      <c r="B19" s="42"/>
      <c r="D19" s="48" t="s">
        <v>746</v>
      </c>
      <c r="E19" s="49"/>
      <c r="F19" s="49"/>
      <c r="G19" s="46" t="s">
        <v>584</v>
      </c>
      <c r="H19" s="47">
        <f>H18</f>
        <v>3806.6728</v>
      </c>
    </row>
    <row r="20" s="4" customFormat="1" ht="20.1" customHeight="1" spans="1:8">
      <c r="A20" s="42"/>
      <c r="B20" s="42"/>
      <c r="D20" s="48" t="s">
        <v>827</v>
      </c>
      <c r="E20" s="49"/>
      <c r="F20" s="49"/>
      <c r="G20" s="46" t="s">
        <v>584</v>
      </c>
      <c r="H20" s="47">
        <f>H19*1.1</f>
        <v>4187.34008</v>
      </c>
    </row>
    <row r="21" s="4" customFormat="1" ht="20.1" customHeight="1" spans="1:8">
      <c r="A21" s="42"/>
      <c r="B21" s="42"/>
      <c r="D21" s="48" t="s">
        <v>748</v>
      </c>
      <c r="E21" s="49"/>
      <c r="F21" s="49"/>
      <c r="G21" s="46" t="s">
        <v>584</v>
      </c>
      <c r="H21" s="47">
        <f>H20*1.1</f>
        <v>4606.074088</v>
      </c>
    </row>
    <row r="22" s="4" customFormat="1" ht="20.1" customHeight="1" spans="1:8">
      <c r="A22" s="42"/>
      <c r="B22" s="42"/>
      <c r="D22" s="140" t="s">
        <v>828</v>
      </c>
      <c r="E22" s="49"/>
      <c r="F22" s="141"/>
      <c r="G22" s="46" t="s">
        <v>584</v>
      </c>
      <c r="H22" s="47">
        <f>H21*1.1</f>
        <v>5066.6814968</v>
      </c>
    </row>
    <row r="23" s="5" customFormat="1" ht="30.6" customHeight="1" spans="1:8">
      <c r="A23" s="62"/>
      <c r="B23" s="62"/>
      <c r="C23" s="66"/>
      <c r="D23" s="64"/>
      <c r="E23" s="65"/>
      <c r="F23" s="65"/>
      <c r="G23" s="66"/>
      <c r="H23" s="67"/>
    </row>
    <row r="24" s="2" customFormat="1" ht="24" customHeight="1" spans="1:9">
      <c r="A24" s="456" t="s">
        <v>829</v>
      </c>
      <c r="B24" s="74"/>
      <c r="C24" s="30" t="s">
        <v>830</v>
      </c>
      <c r="D24" s="30"/>
      <c r="E24" s="30"/>
      <c r="F24" s="30"/>
      <c r="G24" s="30"/>
      <c r="H24" s="30"/>
      <c r="I24" s="57"/>
    </row>
    <row r="25" s="3" customFormat="1" ht="18" customHeight="1" spans="4:8">
      <c r="D25" s="31"/>
      <c r="E25" s="32" t="s">
        <v>570</v>
      </c>
      <c r="F25" s="31">
        <v>1</v>
      </c>
      <c r="G25" s="32" t="s">
        <v>571</v>
      </c>
      <c r="H25" s="33"/>
    </row>
    <row r="26" ht="15" customHeight="1" spans="2:8">
      <c r="B26" s="34" t="s">
        <v>194</v>
      </c>
      <c r="C26" s="34" t="s">
        <v>573</v>
      </c>
      <c r="D26" s="34" t="s">
        <v>574</v>
      </c>
      <c r="E26" s="34" t="s">
        <v>6</v>
      </c>
      <c r="F26" s="34" t="s">
        <v>575</v>
      </c>
      <c r="G26" s="34" t="s">
        <v>576</v>
      </c>
      <c r="H26" s="35" t="s">
        <v>577</v>
      </c>
    </row>
    <row r="27" ht="20.45" customHeight="1" spans="2:8">
      <c r="B27" s="34">
        <v>1.00999999046326</v>
      </c>
      <c r="C27" s="36" t="s">
        <v>831</v>
      </c>
      <c r="D27" s="34" t="s">
        <v>324</v>
      </c>
      <c r="E27" s="457" t="s">
        <v>194</v>
      </c>
      <c r="F27" s="34">
        <v>112</v>
      </c>
      <c r="G27" s="75">
        <f>'Basic Rates'!E62</f>
        <v>160</v>
      </c>
      <c r="H27" s="38">
        <f>G27*F27</f>
        <v>17920</v>
      </c>
    </row>
    <row r="28" ht="20.45" customHeight="1" spans="2:8">
      <c r="B28" s="34">
        <v>1.01999998092651</v>
      </c>
      <c r="C28" s="36" t="s">
        <v>715</v>
      </c>
      <c r="D28" s="457" t="s">
        <v>676</v>
      </c>
      <c r="E28" s="457" t="s">
        <v>676</v>
      </c>
      <c r="F28" s="457" t="s">
        <v>676</v>
      </c>
      <c r="G28" s="457" t="s">
        <v>676</v>
      </c>
      <c r="H28" s="38">
        <f>H27*5/100</f>
        <v>896</v>
      </c>
    </row>
    <row r="29" ht="20.45" customHeight="1" spans="2:8">
      <c r="B29" s="34">
        <v>1.02999997138977</v>
      </c>
      <c r="C29" s="36" t="s">
        <v>24</v>
      </c>
      <c r="D29" s="34" t="s">
        <v>253</v>
      </c>
      <c r="E29" s="34" t="s">
        <v>254</v>
      </c>
      <c r="F29" s="34">
        <v>0.65</v>
      </c>
      <c r="G29" s="75">
        <f>'Basic Rates'!E29</f>
        <v>2400</v>
      </c>
      <c r="H29" s="38">
        <f>G29*F29</f>
        <v>1560</v>
      </c>
    </row>
    <row r="30" ht="20.45" customHeight="1" spans="2:8">
      <c r="B30" s="34">
        <v>1.03999996185303</v>
      </c>
      <c r="C30" s="36" t="s">
        <v>28</v>
      </c>
      <c r="D30" s="34" t="s">
        <v>433</v>
      </c>
      <c r="E30" s="34" t="s">
        <v>288</v>
      </c>
      <c r="F30" s="34">
        <v>0.07</v>
      </c>
      <c r="G30" s="75">
        <f>'Basic Rates'!E116</f>
        <v>18000</v>
      </c>
      <c r="H30" s="38">
        <v>51</v>
      </c>
    </row>
    <row r="31" ht="20.45" customHeight="1" spans="2:8">
      <c r="B31" s="34">
        <v>1.04999995231628</v>
      </c>
      <c r="C31" s="36" t="s">
        <v>217</v>
      </c>
      <c r="D31" s="34" t="s">
        <v>218</v>
      </c>
      <c r="E31" s="457" t="s">
        <v>175</v>
      </c>
      <c r="F31" s="34">
        <v>1.5</v>
      </c>
      <c r="G31" s="75">
        <f>'Basic Rates'!J12</f>
        <v>3500</v>
      </c>
      <c r="H31" s="38">
        <f>G31*F31</f>
        <v>5250</v>
      </c>
    </row>
    <row r="32" ht="20.45" customHeight="1" spans="2:8">
      <c r="B32" s="34">
        <v>1.05999994277954</v>
      </c>
      <c r="C32" s="36" t="s">
        <v>208</v>
      </c>
      <c r="D32" s="34" t="s">
        <v>209</v>
      </c>
      <c r="E32" s="34" t="s">
        <v>175</v>
      </c>
      <c r="F32" s="34">
        <v>2</v>
      </c>
      <c r="G32" s="75">
        <f>'Basic Rates'!J10</f>
        <v>2300</v>
      </c>
      <c r="H32" s="38">
        <f>G32*F32</f>
        <v>4600</v>
      </c>
    </row>
    <row r="33" ht="30.95" customHeight="1" spans="2:8">
      <c r="B33" s="34">
        <v>1.07000005245209</v>
      </c>
      <c r="C33" s="36" t="s">
        <v>675</v>
      </c>
      <c r="D33" s="457" t="s">
        <v>676</v>
      </c>
      <c r="E33" s="457" t="s">
        <v>676</v>
      </c>
      <c r="F33" s="457" t="s">
        <v>676</v>
      </c>
      <c r="G33" s="457" t="s">
        <v>676</v>
      </c>
      <c r="H33" s="38">
        <f>(H31+H32)*3/100</f>
        <v>295.5</v>
      </c>
    </row>
    <row r="34" ht="20.45" customHeight="1" spans="2:8">
      <c r="B34" s="61"/>
      <c r="C34" s="61"/>
      <c r="D34" s="39" t="s">
        <v>579</v>
      </c>
      <c r="E34" s="40">
        <f>$F$25</f>
        <v>1</v>
      </c>
      <c r="F34" s="40" t="str">
        <f>$G$25</f>
        <v>Sqr</v>
      </c>
      <c r="G34" s="41"/>
      <c r="H34" s="38">
        <f>SUM(H27:H33)</f>
        <v>30572.5</v>
      </c>
    </row>
    <row r="35" ht="20.45" customHeight="1" spans="2:8">
      <c r="B35" s="61"/>
      <c r="C35" s="61"/>
      <c r="D35" s="39" t="s">
        <v>580</v>
      </c>
      <c r="E35" s="40" t="str">
        <f>$G$25</f>
        <v>Sqr</v>
      </c>
      <c r="F35" s="40"/>
      <c r="G35" s="41"/>
      <c r="H35" s="38">
        <f>H34/F25</f>
        <v>30572.5</v>
      </c>
    </row>
    <row r="36" s="4" customFormat="1" ht="20.1" customHeight="1" spans="1:11">
      <c r="A36" s="42"/>
      <c r="B36" s="43"/>
      <c r="C36" s="43"/>
      <c r="D36" s="44" t="s">
        <v>581</v>
      </c>
      <c r="E36" s="45"/>
      <c r="F36" s="45"/>
      <c r="G36" s="46" t="s">
        <v>757</v>
      </c>
      <c r="H36" s="47">
        <f>H35</f>
        <v>30572.5</v>
      </c>
      <c r="K36" s="58"/>
    </row>
    <row r="37" s="4" customFormat="1" ht="20.1" customHeight="1" spans="1:11">
      <c r="A37" s="42"/>
      <c r="B37" s="43"/>
      <c r="C37" s="43"/>
      <c r="D37" s="44" t="s">
        <v>581</v>
      </c>
      <c r="E37" s="45"/>
      <c r="F37" s="45"/>
      <c r="G37" s="46" t="s">
        <v>785</v>
      </c>
      <c r="H37" s="47">
        <f>H36/100</f>
        <v>305.725</v>
      </c>
      <c r="K37" s="58"/>
    </row>
    <row r="38" s="4" customFormat="1" ht="20.1" customHeight="1" spans="1:11">
      <c r="A38" s="42"/>
      <c r="B38" s="43"/>
      <c r="C38" s="6"/>
      <c r="D38" s="44" t="s">
        <v>581</v>
      </c>
      <c r="E38" s="45"/>
      <c r="F38" s="45"/>
      <c r="G38" s="46" t="s">
        <v>584</v>
      </c>
      <c r="H38" s="47">
        <f>H37*10.76</f>
        <v>3289.601</v>
      </c>
      <c r="K38" s="58"/>
    </row>
    <row r="39" s="4" customFormat="1" ht="20.1" customHeight="1" spans="1:8">
      <c r="A39" s="42"/>
      <c r="B39" s="42"/>
      <c r="D39" s="48" t="s">
        <v>746</v>
      </c>
      <c r="E39" s="49"/>
      <c r="F39" s="49"/>
      <c r="G39" s="46" t="s">
        <v>584</v>
      </c>
      <c r="H39" s="47">
        <f>H38</f>
        <v>3289.601</v>
      </c>
    </row>
    <row r="40" s="4" customFormat="1" ht="20.1" customHeight="1" spans="1:8">
      <c r="A40" s="42"/>
      <c r="B40" s="42"/>
      <c r="D40" s="48" t="s">
        <v>827</v>
      </c>
      <c r="E40" s="49"/>
      <c r="F40" s="49"/>
      <c r="G40" s="46" t="s">
        <v>584</v>
      </c>
      <c r="H40" s="47">
        <f>H39*1.1</f>
        <v>3618.5611</v>
      </c>
    </row>
    <row r="41" s="4" customFormat="1" ht="20.1" customHeight="1" spans="1:8">
      <c r="A41" s="42"/>
      <c r="B41" s="42"/>
      <c r="D41" s="48" t="s">
        <v>748</v>
      </c>
      <c r="E41" s="49"/>
      <c r="F41" s="49"/>
      <c r="G41" s="46" t="s">
        <v>584</v>
      </c>
      <c r="H41" s="47">
        <f>H40*1.1</f>
        <v>3980.41721</v>
      </c>
    </row>
    <row r="42" s="4" customFormat="1" ht="20.1" customHeight="1" spans="1:8">
      <c r="A42" s="42"/>
      <c r="B42" s="42"/>
      <c r="D42" s="48" t="s">
        <v>749</v>
      </c>
      <c r="E42" s="49"/>
      <c r="F42" s="141"/>
      <c r="G42" s="46" t="s">
        <v>584</v>
      </c>
      <c r="H42" s="47">
        <f>H41*1.1</f>
        <v>4378.458931</v>
      </c>
    </row>
    <row r="45" s="2" customFormat="1" ht="24" customHeight="1" spans="1:9">
      <c r="A45" s="456" t="s">
        <v>832</v>
      </c>
      <c r="B45" s="74"/>
      <c r="C45" s="30" t="s">
        <v>833</v>
      </c>
      <c r="D45" s="30"/>
      <c r="E45" s="30"/>
      <c r="F45" s="30"/>
      <c r="G45" s="30"/>
      <c r="H45" s="30"/>
      <c r="I45" s="57"/>
    </row>
    <row r="46" s="3" customFormat="1" ht="18" customHeight="1" spans="4:8">
      <c r="D46" s="31"/>
      <c r="E46" s="32" t="s">
        <v>570</v>
      </c>
      <c r="F46" s="31">
        <v>1</v>
      </c>
      <c r="G46" s="32" t="s">
        <v>571</v>
      </c>
      <c r="H46" s="33"/>
    </row>
    <row r="47" ht="15" customHeight="1" spans="2:8">
      <c r="B47" s="34" t="s">
        <v>194</v>
      </c>
      <c r="C47" s="34" t="s">
        <v>573</v>
      </c>
      <c r="D47" s="34" t="s">
        <v>574</v>
      </c>
      <c r="E47" s="34" t="s">
        <v>6</v>
      </c>
      <c r="F47" s="34" t="s">
        <v>575</v>
      </c>
      <c r="G47" s="34" t="s">
        <v>576</v>
      </c>
      <c r="H47" s="35" t="s">
        <v>577</v>
      </c>
    </row>
    <row r="48" ht="20.45" customHeight="1" spans="2:8">
      <c r="B48" s="34">
        <v>1.00999999046326</v>
      </c>
      <c r="C48" s="36" t="s">
        <v>834</v>
      </c>
      <c r="D48" s="34" t="s">
        <v>322</v>
      </c>
      <c r="E48" s="457" t="s">
        <v>194</v>
      </c>
      <c r="F48" s="34">
        <v>112</v>
      </c>
      <c r="G48" s="75">
        <f>'Basic Rates'!E61</f>
        <v>100</v>
      </c>
      <c r="H48" s="38">
        <f>G48*F48</f>
        <v>11200</v>
      </c>
    </row>
    <row r="49" ht="20.45" customHeight="1" spans="2:8">
      <c r="B49" s="34">
        <v>1.01999998092651</v>
      </c>
      <c r="C49" s="36" t="s">
        <v>715</v>
      </c>
      <c r="D49" s="457" t="s">
        <v>676</v>
      </c>
      <c r="E49" s="457" t="s">
        <v>676</v>
      </c>
      <c r="F49" s="457" t="s">
        <v>676</v>
      </c>
      <c r="G49" s="457" t="s">
        <v>676</v>
      </c>
      <c r="H49" s="38">
        <f>H48*5/100</f>
        <v>560</v>
      </c>
    </row>
    <row r="50" ht="20.45" customHeight="1" spans="2:8">
      <c r="B50" s="34">
        <v>1.02999997138977</v>
      </c>
      <c r="C50" s="36" t="s">
        <v>24</v>
      </c>
      <c r="D50" s="34" t="s">
        <v>253</v>
      </c>
      <c r="E50" s="34" t="s">
        <v>254</v>
      </c>
      <c r="F50" s="34">
        <v>0.4</v>
      </c>
      <c r="G50" s="75">
        <f>'Basic Rates'!E29</f>
        <v>2400</v>
      </c>
      <c r="H50" s="38">
        <f>G50*F50</f>
        <v>960</v>
      </c>
    </row>
    <row r="51" ht="20.45" customHeight="1" spans="2:8">
      <c r="B51" s="34">
        <v>1.03999996185303</v>
      </c>
      <c r="C51" s="36" t="s">
        <v>28</v>
      </c>
      <c r="D51" s="34" t="s">
        <v>433</v>
      </c>
      <c r="E51" s="34" t="s">
        <v>288</v>
      </c>
      <c r="F51" s="34">
        <v>0.03</v>
      </c>
      <c r="G51" s="75">
        <f>'Basic Rates'!E116</f>
        <v>18000</v>
      </c>
      <c r="H51" s="38">
        <v>51</v>
      </c>
    </row>
    <row r="52" ht="20.45" customHeight="1" spans="2:8">
      <c r="B52" s="34">
        <v>1.04999995231628</v>
      </c>
      <c r="C52" s="36" t="s">
        <v>217</v>
      </c>
      <c r="D52" s="34" t="s">
        <v>218</v>
      </c>
      <c r="E52" s="457" t="s">
        <v>175</v>
      </c>
      <c r="F52" s="34">
        <v>1</v>
      </c>
      <c r="G52" s="75">
        <f>'Basic Rates'!J12</f>
        <v>3500</v>
      </c>
      <c r="H52" s="38">
        <f>G52*F52</f>
        <v>3500</v>
      </c>
    </row>
    <row r="53" ht="20.45" customHeight="1" spans="2:8">
      <c r="B53" s="34">
        <v>1.05999994277954</v>
      </c>
      <c r="C53" s="36" t="s">
        <v>208</v>
      </c>
      <c r="D53" s="34" t="s">
        <v>209</v>
      </c>
      <c r="E53" s="34" t="s">
        <v>175</v>
      </c>
      <c r="F53" s="34">
        <v>2</v>
      </c>
      <c r="G53" s="75">
        <f>'Basic Rates'!J10</f>
        <v>2300</v>
      </c>
      <c r="H53" s="38">
        <f>G53*F53</f>
        <v>4600</v>
      </c>
    </row>
    <row r="54" ht="30.95" customHeight="1" spans="2:8">
      <c r="B54" s="34">
        <v>1.07000005245209</v>
      </c>
      <c r="C54" s="36" t="s">
        <v>835</v>
      </c>
      <c r="D54" s="457" t="s">
        <v>676</v>
      </c>
      <c r="E54" s="457" t="s">
        <v>676</v>
      </c>
      <c r="F54" s="457" t="s">
        <v>676</v>
      </c>
      <c r="G54" s="457" t="s">
        <v>676</v>
      </c>
      <c r="H54" s="38">
        <f>(H52+H53)*5/100</f>
        <v>405</v>
      </c>
    </row>
    <row r="55" ht="20.45" customHeight="1" spans="2:8">
      <c r="B55" s="61"/>
      <c r="C55" s="61"/>
      <c r="D55" s="39" t="s">
        <v>579</v>
      </c>
      <c r="E55" s="40">
        <f>$F$25</f>
        <v>1</v>
      </c>
      <c r="F55" s="40" t="str">
        <f>$G$25</f>
        <v>Sqr</v>
      </c>
      <c r="G55" s="41"/>
      <c r="H55" s="38">
        <f>SUM(H48:H54)</f>
        <v>21276</v>
      </c>
    </row>
    <row r="56" ht="20.45" customHeight="1" spans="2:8">
      <c r="B56" s="61"/>
      <c r="C56" s="61"/>
      <c r="D56" s="39" t="s">
        <v>580</v>
      </c>
      <c r="E56" s="40" t="str">
        <f>$G$25</f>
        <v>Sqr</v>
      </c>
      <c r="F56" s="40"/>
      <c r="G56" s="41"/>
      <c r="H56" s="38">
        <f>H55/F46</f>
        <v>21276</v>
      </c>
    </row>
    <row r="57" s="4" customFormat="1" ht="20.1" customHeight="1" spans="1:11">
      <c r="A57" s="42"/>
      <c r="B57" s="43"/>
      <c r="C57" s="43"/>
      <c r="D57" s="44" t="s">
        <v>581</v>
      </c>
      <c r="E57" s="45"/>
      <c r="F57" s="45"/>
      <c r="G57" s="46" t="s">
        <v>757</v>
      </c>
      <c r="H57" s="47">
        <f>H56</f>
        <v>21276</v>
      </c>
      <c r="K57" s="58"/>
    </row>
    <row r="58" s="4" customFormat="1" ht="20.1" customHeight="1" spans="1:11">
      <c r="A58" s="42"/>
      <c r="B58" s="43"/>
      <c r="C58" s="43"/>
      <c r="D58" s="44" t="s">
        <v>581</v>
      </c>
      <c r="E58" s="45"/>
      <c r="F58" s="45"/>
      <c r="G58" s="46" t="s">
        <v>785</v>
      </c>
      <c r="H58" s="47">
        <f>H57/100</f>
        <v>212.76</v>
      </c>
      <c r="K58" s="58"/>
    </row>
    <row r="59" s="4" customFormat="1" ht="20.1" customHeight="1" spans="1:11">
      <c r="A59" s="42"/>
      <c r="B59" s="43"/>
      <c r="C59" s="6"/>
      <c r="D59" s="44" t="s">
        <v>581</v>
      </c>
      <c r="E59" s="45"/>
      <c r="F59" s="45"/>
      <c r="G59" s="46" t="s">
        <v>584</v>
      </c>
      <c r="H59" s="47">
        <f>H58*10.76</f>
        <v>2289.2976</v>
      </c>
      <c r="K59" s="58"/>
    </row>
    <row r="60" s="4" customFormat="1" ht="20.1" customHeight="1" spans="1:8">
      <c r="A60" s="42"/>
      <c r="B60" s="42"/>
      <c r="D60" s="48" t="s">
        <v>746</v>
      </c>
      <c r="E60" s="49"/>
      <c r="F60" s="49"/>
      <c r="G60" s="46" t="s">
        <v>584</v>
      </c>
      <c r="H60" s="47">
        <f>H59</f>
        <v>2289.2976</v>
      </c>
    </row>
    <row r="61" s="4" customFormat="1" ht="20.1" customHeight="1" spans="1:8">
      <c r="A61" s="42"/>
      <c r="B61" s="42"/>
      <c r="D61" s="48" t="s">
        <v>827</v>
      </c>
      <c r="E61" s="49"/>
      <c r="F61" s="49"/>
      <c r="G61" s="46" t="s">
        <v>584</v>
      </c>
      <c r="H61" s="47">
        <f>H60*1.1</f>
        <v>2518.22736</v>
      </c>
    </row>
    <row r="62" s="4" customFormat="1" ht="20.1" customHeight="1" spans="1:8">
      <c r="A62" s="42"/>
      <c r="B62" s="42"/>
      <c r="D62" s="48" t="s">
        <v>748</v>
      </c>
      <c r="E62" s="49"/>
      <c r="F62" s="49"/>
      <c r="G62" s="46" t="s">
        <v>584</v>
      </c>
      <c r="H62" s="47">
        <f>H61*1.1</f>
        <v>2770.050096</v>
      </c>
    </row>
    <row r="63" s="4" customFormat="1" ht="20.1" customHeight="1" spans="1:8">
      <c r="A63" s="42"/>
      <c r="B63" s="42"/>
      <c r="D63" s="48" t="s">
        <v>749</v>
      </c>
      <c r="E63" s="49"/>
      <c r="F63" s="141"/>
      <c r="G63" s="46" t="s">
        <v>584</v>
      </c>
      <c r="H63" s="47">
        <f>H62*1.1</f>
        <v>3047.0551056</v>
      </c>
    </row>
  </sheetData>
  <mergeCells count="7">
    <mergeCell ref="A2:H2"/>
    <mergeCell ref="A4:B4"/>
    <mergeCell ref="C4:H4"/>
    <mergeCell ref="A24:B24"/>
    <mergeCell ref="C24:H24"/>
    <mergeCell ref="A45:B45"/>
    <mergeCell ref="C45:H45"/>
  </mergeCell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indexed="62"/>
  </sheetPr>
  <dimension ref="A1:I253"/>
  <sheetViews>
    <sheetView topLeftCell="A238" workbookViewId="0">
      <selection activeCell="G249" sqref="G249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5.4285714285714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9" width="9.28571428571429" style="6" customWidth="1"/>
    <col min="10" max="10" width="11.7142857142857" style="6" customWidth="1"/>
    <col min="11" max="16384" width="9.14285714285714" style="6"/>
  </cols>
  <sheetData>
    <row r="1" s="4" customFormat="1" ht="9" customHeight="1" spans="4:8">
      <c r="D1" s="146"/>
      <c r="E1" s="147"/>
      <c r="F1" s="147"/>
      <c r="G1" s="148"/>
      <c r="H1" s="149"/>
    </row>
    <row r="2" ht="20.1" customHeight="1" spans="1:9">
      <c r="A2" s="180" t="s">
        <v>836</v>
      </c>
      <c r="B2" s="180"/>
      <c r="C2" s="180"/>
      <c r="D2" s="180"/>
      <c r="E2" s="180"/>
      <c r="F2" s="180"/>
      <c r="G2" s="180"/>
      <c r="H2" s="180"/>
      <c r="I2" s="54"/>
    </row>
    <row r="3" s="1" customFormat="1" ht="9" customHeight="1" spans="2:8">
      <c r="B3" s="25"/>
      <c r="C3" s="26"/>
      <c r="D3" s="26"/>
      <c r="E3" s="26"/>
      <c r="F3" s="26"/>
      <c r="G3" s="27"/>
      <c r="H3" s="28"/>
    </row>
    <row r="4" ht="22.5" customHeight="1" spans="1:8">
      <c r="A4" s="456" t="s">
        <v>837</v>
      </c>
      <c r="B4" s="74"/>
      <c r="C4" s="30" t="s">
        <v>838</v>
      </c>
      <c r="D4" s="30"/>
      <c r="E4" s="30"/>
      <c r="F4" s="30"/>
      <c r="G4" s="30"/>
      <c r="H4" s="30"/>
    </row>
    <row r="5" s="2" customFormat="1" ht="17.25" customHeight="1" spans="1:9">
      <c r="A5" s="3"/>
      <c r="B5" s="3"/>
      <c r="C5" s="3"/>
      <c r="D5" s="31"/>
      <c r="E5" s="32" t="s">
        <v>570</v>
      </c>
      <c r="F5" s="31">
        <v>1</v>
      </c>
      <c r="G5" s="32" t="s">
        <v>571</v>
      </c>
      <c r="H5" s="33"/>
      <c r="I5" s="57"/>
    </row>
    <row r="6" s="3" customFormat="1" ht="18" customHeight="1" spans="1:8">
      <c r="A6" s="6"/>
      <c r="B6" s="34" t="s">
        <v>194</v>
      </c>
      <c r="C6" s="34" t="s">
        <v>573</v>
      </c>
      <c r="D6" s="34" t="s">
        <v>574</v>
      </c>
      <c r="E6" s="34" t="s">
        <v>6</v>
      </c>
      <c r="F6" s="34" t="s">
        <v>575</v>
      </c>
      <c r="G6" s="34" t="s">
        <v>576</v>
      </c>
      <c r="H6" s="35" t="s">
        <v>577</v>
      </c>
    </row>
    <row r="7" ht="15" customHeight="1" spans="2:8">
      <c r="B7" s="34">
        <v>1.00999999046326</v>
      </c>
      <c r="C7" s="36" t="s">
        <v>68</v>
      </c>
      <c r="D7" s="34" t="s">
        <v>240</v>
      </c>
      <c r="E7" s="34" t="s">
        <v>194</v>
      </c>
      <c r="F7" s="34">
        <v>550</v>
      </c>
      <c r="G7" s="75">
        <f>'Basic Rates'!E22</f>
        <v>20</v>
      </c>
      <c r="H7" s="38">
        <f>G7*F7</f>
        <v>11000</v>
      </c>
    </row>
    <row r="8" ht="20.1" customHeight="1" spans="2:8">
      <c r="B8" s="34">
        <v>1.01999998092651</v>
      </c>
      <c r="C8" s="36" t="s">
        <v>715</v>
      </c>
      <c r="D8" s="457" t="s">
        <v>676</v>
      </c>
      <c r="E8" s="457" t="s">
        <v>676</v>
      </c>
      <c r="F8" s="457" t="s">
        <v>676</v>
      </c>
      <c r="G8" s="457" t="s">
        <v>676</v>
      </c>
      <c r="H8" s="38">
        <f>H7*5/100</f>
        <v>550</v>
      </c>
    </row>
    <row r="9" ht="20.45" customHeight="1" spans="2:8">
      <c r="B9" s="34">
        <v>1.02999997138977</v>
      </c>
      <c r="C9" s="36" t="s">
        <v>24</v>
      </c>
      <c r="D9" s="34" t="s">
        <v>253</v>
      </c>
      <c r="E9" s="34" t="s">
        <v>254</v>
      </c>
      <c r="F9" s="34">
        <v>1.3</v>
      </c>
      <c r="G9" s="75">
        <f>'Basic Rates'!E29</f>
        <v>2400</v>
      </c>
      <c r="H9" s="38">
        <f>G9*F9</f>
        <v>3120</v>
      </c>
    </row>
    <row r="10" ht="20.45" customHeight="1" spans="2:8">
      <c r="B10" s="34">
        <v>1.04</v>
      </c>
      <c r="C10" s="36" t="s">
        <v>28</v>
      </c>
      <c r="D10" s="34" t="s">
        <v>433</v>
      </c>
      <c r="E10" s="457" t="s">
        <v>638</v>
      </c>
      <c r="F10" s="34">
        <v>0.1</v>
      </c>
      <c r="G10" s="75">
        <f>'Basic Rates'!E116</f>
        <v>18000</v>
      </c>
      <c r="H10" s="38">
        <f>G10*F10</f>
        <v>1800</v>
      </c>
    </row>
    <row r="11" ht="20.45" customHeight="1" spans="2:8">
      <c r="B11" s="34">
        <v>1.05</v>
      </c>
      <c r="C11" s="36" t="s">
        <v>36</v>
      </c>
      <c r="D11" s="34" t="s">
        <v>525</v>
      </c>
      <c r="E11" s="34" t="s">
        <v>173</v>
      </c>
      <c r="F11" s="34">
        <v>50</v>
      </c>
      <c r="G11" s="75">
        <f>'Basic Rates'!E161</f>
        <v>0.3</v>
      </c>
      <c r="H11" s="38">
        <f>G11*F11</f>
        <v>15</v>
      </c>
    </row>
    <row r="12" ht="20.45" customHeight="1" spans="2:8">
      <c r="B12" s="34">
        <v>1.06</v>
      </c>
      <c r="C12" s="36" t="s">
        <v>217</v>
      </c>
      <c r="D12" s="34" t="s">
        <v>218</v>
      </c>
      <c r="E12" s="34" t="s">
        <v>175</v>
      </c>
      <c r="F12" s="34">
        <v>1.5</v>
      </c>
      <c r="G12" s="75">
        <f>'Basic Rates'!J12</f>
        <v>3500</v>
      </c>
      <c r="H12" s="38">
        <f>G12*F12</f>
        <v>5250</v>
      </c>
    </row>
    <row r="13" ht="20.45" customHeight="1" spans="2:8">
      <c r="B13" s="34">
        <v>1.07</v>
      </c>
      <c r="C13" s="36" t="s">
        <v>208</v>
      </c>
      <c r="D13" s="34" t="s">
        <v>209</v>
      </c>
      <c r="E13" s="34" t="s">
        <v>175</v>
      </c>
      <c r="F13" s="34">
        <v>2</v>
      </c>
      <c r="G13" s="75">
        <f>'Basic Rates'!J10</f>
        <v>2300</v>
      </c>
      <c r="H13" s="38">
        <f>G13*F13</f>
        <v>4600</v>
      </c>
    </row>
    <row r="14" ht="28.5" customHeight="1" spans="2:8">
      <c r="B14" s="34">
        <v>1.08</v>
      </c>
      <c r="C14" s="36" t="s">
        <v>839</v>
      </c>
      <c r="D14" s="457" t="s">
        <v>676</v>
      </c>
      <c r="E14" s="457" t="s">
        <v>676</v>
      </c>
      <c r="F14" s="457" t="s">
        <v>676</v>
      </c>
      <c r="G14" s="457" t="s">
        <v>676</v>
      </c>
      <c r="H14" s="38">
        <f>(H12+H13)*5/100</f>
        <v>492.5</v>
      </c>
    </row>
    <row r="15" ht="20.45" customHeight="1" spans="2:8">
      <c r="B15" s="61"/>
      <c r="C15" s="61"/>
      <c r="D15" s="39" t="s">
        <v>579</v>
      </c>
      <c r="E15" s="40">
        <f>$F$5</f>
        <v>1</v>
      </c>
      <c r="F15" s="40" t="str">
        <f>$G$5</f>
        <v>Sqr</v>
      </c>
      <c r="G15" s="41"/>
      <c r="H15" s="38">
        <f>SUM(H7:H14)</f>
        <v>26827.5</v>
      </c>
    </row>
    <row r="16" ht="20.45" customHeight="1" spans="2:8">
      <c r="B16" s="61"/>
      <c r="C16" s="61"/>
      <c r="D16" s="39" t="s">
        <v>580</v>
      </c>
      <c r="E16" s="40" t="str">
        <f>$G$5</f>
        <v>Sqr</v>
      </c>
      <c r="F16" s="40"/>
      <c r="G16" s="41"/>
      <c r="H16" s="38">
        <f>H15/F5</f>
        <v>26827.5</v>
      </c>
    </row>
    <row r="17" s="4" customFormat="1" ht="20.1" customHeight="1" spans="1:8">
      <c r="A17" s="42"/>
      <c r="B17" s="43"/>
      <c r="C17" s="43"/>
      <c r="D17" s="44" t="s">
        <v>581</v>
      </c>
      <c r="E17" s="45"/>
      <c r="F17" s="45"/>
      <c r="G17" s="46" t="s">
        <v>757</v>
      </c>
      <c r="H17" s="47">
        <f>ROUND(H16,0)</f>
        <v>26828</v>
      </c>
    </row>
    <row r="18" s="4" customFormat="1" ht="20.1" customHeight="1" spans="1:8">
      <c r="A18" s="42"/>
      <c r="B18" s="43"/>
      <c r="C18" s="43"/>
      <c r="D18" s="44" t="s">
        <v>581</v>
      </c>
      <c r="E18" s="45"/>
      <c r="F18" s="45"/>
      <c r="G18" s="46" t="s">
        <v>583</v>
      </c>
      <c r="H18" s="47">
        <f>H17/100</f>
        <v>268.28</v>
      </c>
    </row>
    <row r="19" s="4" customFormat="1" ht="20.1" customHeight="1" spans="1:8">
      <c r="A19" s="42"/>
      <c r="B19" s="43"/>
      <c r="C19" s="6"/>
      <c r="D19" s="44" t="s">
        <v>581</v>
      </c>
      <c r="E19" s="45"/>
      <c r="F19" s="45"/>
      <c r="G19" s="46" t="s">
        <v>584</v>
      </c>
      <c r="H19" s="47">
        <f>H18*10.76</f>
        <v>2886.6928</v>
      </c>
    </row>
    <row r="20" s="4" customFormat="1" ht="20.1" customHeight="1" spans="1:8">
      <c r="A20" s="42"/>
      <c r="B20" s="42"/>
      <c r="D20" s="48" t="s">
        <v>746</v>
      </c>
      <c r="E20" s="49"/>
      <c r="F20" s="49"/>
      <c r="G20" s="46" t="s">
        <v>584</v>
      </c>
      <c r="H20" s="47">
        <f>H19</f>
        <v>2886.6928</v>
      </c>
    </row>
    <row r="21" s="4" customFormat="1" ht="20.1" customHeight="1" spans="1:8">
      <c r="A21" s="42"/>
      <c r="B21" s="42"/>
      <c r="D21" s="48" t="s">
        <v>827</v>
      </c>
      <c r="E21" s="49"/>
      <c r="F21" s="49"/>
      <c r="G21" s="46" t="s">
        <v>584</v>
      </c>
      <c r="H21" s="47">
        <f>H20*1.05</f>
        <v>3031.02744</v>
      </c>
    </row>
    <row r="22" s="4" customFormat="1" ht="20.1" customHeight="1" spans="1:8">
      <c r="A22" s="42"/>
      <c r="B22" s="42"/>
      <c r="D22" s="48" t="s">
        <v>748</v>
      </c>
      <c r="E22" s="49"/>
      <c r="F22" s="49"/>
      <c r="G22" s="46" t="s">
        <v>584</v>
      </c>
      <c r="H22" s="47">
        <f>H21*1.05</f>
        <v>3182.578812</v>
      </c>
    </row>
    <row r="23" s="4" customFormat="1" ht="20.1" customHeight="1" spans="1:8">
      <c r="A23" s="42"/>
      <c r="B23" s="42"/>
      <c r="D23" s="48" t="s">
        <v>749</v>
      </c>
      <c r="E23" s="49"/>
      <c r="F23" s="49"/>
      <c r="G23" s="46" t="s">
        <v>584</v>
      </c>
      <c r="H23" s="47">
        <f>H22*1.05</f>
        <v>3341.7077526</v>
      </c>
    </row>
    <row r="24" s="5" customFormat="1" spans="1:8">
      <c r="A24" s="1"/>
      <c r="B24" s="1"/>
      <c r="C24" s="66"/>
      <c r="D24" s="64"/>
      <c r="E24" s="65"/>
      <c r="F24" s="65"/>
      <c r="G24" s="66"/>
      <c r="H24" s="67"/>
    </row>
    <row r="25" s="5" customFormat="1" ht="27" customHeight="1" spans="1:8">
      <c r="A25" s="456" t="s">
        <v>840</v>
      </c>
      <c r="B25" s="74"/>
      <c r="C25" s="30" t="s">
        <v>841</v>
      </c>
      <c r="D25" s="30"/>
      <c r="E25" s="30"/>
      <c r="F25" s="30"/>
      <c r="G25" s="30"/>
      <c r="H25" s="30"/>
    </row>
    <row r="26" s="5" customFormat="1" ht="18.75" customHeight="1" spans="1:8">
      <c r="A26" s="179"/>
      <c r="B26" s="179"/>
      <c r="C26" s="179"/>
      <c r="D26" s="181"/>
      <c r="E26" s="182" t="s">
        <v>570</v>
      </c>
      <c r="F26" s="181">
        <v>1</v>
      </c>
      <c r="G26" s="182" t="s">
        <v>571</v>
      </c>
      <c r="H26" s="183"/>
    </row>
    <row r="27" s="2" customFormat="1" ht="30" customHeight="1" spans="1:9">
      <c r="A27" s="6"/>
      <c r="B27" s="34" t="s">
        <v>194</v>
      </c>
      <c r="C27" s="34" t="s">
        <v>573</v>
      </c>
      <c r="D27" s="34" t="s">
        <v>574</v>
      </c>
      <c r="E27" s="34" t="s">
        <v>6</v>
      </c>
      <c r="F27" s="34" t="s">
        <v>575</v>
      </c>
      <c r="G27" s="34" t="s">
        <v>576</v>
      </c>
      <c r="H27" s="35" t="s">
        <v>577</v>
      </c>
      <c r="I27" s="57"/>
    </row>
    <row r="28" ht="20.45" customHeight="1" spans="2:8">
      <c r="B28" s="34">
        <v>1.00999999046326</v>
      </c>
      <c r="C28" s="36" t="s">
        <v>68</v>
      </c>
      <c r="D28" s="34" t="s">
        <v>240</v>
      </c>
      <c r="E28" s="457" t="s">
        <v>194</v>
      </c>
      <c r="F28" s="34">
        <v>1090</v>
      </c>
      <c r="G28" s="75">
        <f>'Basic Rates'!E22</f>
        <v>20</v>
      </c>
      <c r="H28" s="38">
        <f>G28*F28</f>
        <v>21800</v>
      </c>
    </row>
    <row r="29" ht="20.45" customHeight="1" spans="2:8">
      <c r="B29" s="34">
        <v>1.01999998092651</v>
      </c>
      <c r="C29" s="36" t="s">
        <v>715</v>
      </c>
      <c r="D29" s="457" t="s">
        <v>676</v>
      </c>
      <c r="E29" s="457" t="s">
        <v>676</v>
      </c>
      <c r="F29" s="457" t="s">
        <v>676</v>
      </c>
      <c r="G29" s="457" t="s">
        <v>676</v>
      </c>
      <c r="H29" s="38">
        <f>H28*5/100</f>
        <v>1090</v>
      </c>
    </row>
    <row r="30" ht="20.45" customHeight="1" spans="2:8">
      <c r="B30" s="34">
        <v>1.02999997138977</v>
      </c>
      <c r="C30" s="36" t="s">
        <v>24</v>
      </c>
      <c r="D30" s="34" t="s">
        <v>253</v>
      </c>
      <c r="E30" s="457" t="s">
        <v>254</v>
      </c>
      <c r="F30" s="34">
        <v>3</v>
      </c>
      <c r="G30" s="75">
        <f>'Basic Rates'!E29</f>
        <v>2400</v>
      </c>
      <c r="H30" s="38">
        <f>G30*F30</f>
        <v>7200</v>
      </c>
    </row>
    <row r="31" ht="20.45" customHeight="1" spans="2:8">
      <c r="B31" s="34">
        <v>1.04</v>
      </c>
      <c r="C31" s="36" t="s">
        <v>28</v>
      </c>
      <c r="D31" s="34" t="s">
        <v>433</v>
      </c>
      <c r="E31" s="457" t="s">
        <v>638</v>
      </c>
      <c r="F31" s="34">
        <v>0.2</v>
      </c>
      <c r="G31" s="75">
        <f>'Basic Rates'!E116</f>
        <v>18000</v>
      </c>
      <c r="H31" s="38">
        <f>G31*F31</f>
        <v>3600</v>
      </c>
    </row>
    <row r="32" ht="20.45" customHeight="1" spans="2:8">
      <c r="B32" s="34">
        <v>1.05</v>
      </c>
      <c r="C32" s="36" t="s">
        <v>36</v>
      </c>
      <c r="D32" s="34" t="s">
        <v>525</v>
      </c>
      <c r="E32" s="34" t="s">
        <v>173</v>
      </c>
      <c r="F32" s="34">
        <v>115</v>
      </c>
      <c r="G32" s="75">
        <f>'Basic Rates'!E161</f>
        <v>0.3</v>
      </c>
      <c r="H32" s="38">
        <f>G32*F32</f>
        <v>34.5</v>
      </c>
    </row>
    <row r="33" ht="20.45" customHeight="1" spans="2:8">
      <c r="B33" s="34">
        <v>1.06</v>
      </c>
      <c r="C33" s="36" t="s">
        <v>217</v>
      </c>
      <c r="D33" s="34" t="s">
        <v>218</v>
      </c>
      <c r="E33" s="34" t="s">
        <v>175</v>
      </c>
      <c r="F33" s="34">
        <v>2.25</v>
      </c>
      <c r="G33" s="75">
        <f>'Basic Rates'!J12</f>
        <v>3500</v>
      </c>
      <c r="H33" s="38">
        <f>G33*F33</f>
        <v>7875</v>
      </c>
    </row>
    <row r="34" ht="20.45" customHeight="1" spans="2:8">
      <c r="B34" s="34">
        <v>1.07</v>
      </c>
      <c r="C34" s="36" t="s">
        <v>842</v>
      </c>
      <c r="D34" s="34" t="s">
        <v>209</v>
      </c>
      <c r="E34" s="34" t="s">
        <v>175</v>
      </c>
      <c r="F34" s="34">
        <v>3.75</v>
      </c>
      <c r="G34" s="75">
        <f>'Basic Rates'!J10</f>
        <v>2300</v>
      </c>
      <c r="H34" s="38">
        <f>G34*F34</f>
        <v>8625</v>
      </c>
    </row>
    <row r="35" ht="30" customHeight="1" spans="2:8">
      <c r="B35" s="34">
        <v>1.08</v>
      </c>
      <c r="C35" s="36" t="s">
        <v>843</v>
      </c>
      <c r="D35" s="457" t="s">
        <v>676</v>
      </c>
      <c r="E35" s="457" t="s">
        <v>676</v>
      </c>
      <c r="F35" s="457" t="s">
        <v>676</v>
      </c>
      <c r="G35" s="457" t="s">
        <v>676</v>
      </c>
      <c r="H35" s="38">
        <f>(H33+H34)*3/100</f>
        <v>495</v>
      </c>
    </row>
    <row r="36" ht="20.45" customHeight="1" spans="2:8">
      <c r="B36" s="61"/>
      <c r="C36" s="61"/>
      <c r="D36" s="39" t="s">
        <v>579</v>
      </c>
      <c r="E36" s="40">
        <f>$F$26</f>
        <v>1</v>
      </c>
      <c r="F36" s="40" t="str">
        <f>$G$26</f>
        <v>Sqr</v>
      </c>
      <c r="G36" s="41"/>
      <c r="H36" s="38">
        <f>SUM(H28:H35)</f>
        <v>50719.5</v>
      </c>
    </row>
    <row r="37" ht="20.45" customHeight="1" spans="2:8">
      <c r="B37" s="61"/>
      <c r="C37" s="61"/>
      <c r="D37" s="39" t="s">
        <v>580</v>
      </c>
      <c r="E37" s="40" t="str">
        <f>$G$26</f>
        <v>Sqr</v>
      </c>
      <c r="F37" s="40"/>
      <c r="G37" s="41"/>
      <c r="H37" s="38">
        <f>H36/F26</f>
        <v>50719.5</v>
      </c>
    </row>
    <row r="38" s="4" customFormat="1" ht="20.1" customHeight="1" spans="1:8">
      <c r="A38" s="42"/>
      <c r="B38" s="43"/>
      <c r="C38" s="43"/>
      <c r="D38" s="44" t="s">
        <v>581</v>
      </c>
      <c r="E38" s="45"/>
      <c r="F38" s="45"/>
      <c r="G38" s="46" t="s">
        <v>757</v>
      </c>
      <c r="H38" s="47">
        <f>ROUND(H37,0)</f>
        <v>50720</v>
      </c>
    </row>
    <row r="39" s="4" customFormat="1" ht="20.1" customHeight="1" spans="1:8">
      <c r="A39" s="42"/>
      <c r="B39" s="43"/>
      <c r="C39" s="43"/>
      <c r="D39" s="44" t="s">
        <v>581</v>
      </c>
      <c r="E39" s="45"/>
      <c r="F39" s="45"/>
      <c r="G39" s="46" t="s">
        <v>583</v>
      </c>
      <c r="H39" s="47">
        <f>H38/100</f>
        <v>507.2</v>
      </c>
    </row>
    <row r="40" s="4" customFormat="1" ht="20.1" customHeight="1" spans="1:8">
      <c r="A40" s="42"/>
      <c r="B40" s="43"/>
      <c r="C40" s="6"/>
      <c r="D40" s="44" t="s">
        <v>581</v>
      </c>
      <c r="E40" s="45"/>
      <c r="F40" s="45"/>
      <c r="G40" s="46" t="s">
        <v>584</v>
      </c>
      <c r="H40" s="47">
        <f>H39*10.76</f>
        <v>5457.472</v>
      </c>
    </row>
    <row r="41" s="4" customFormat="1" ht="20.1" customHeight="1" spans="1:8">
      <c r="A41" s="42"/>
      <c r="B41" s="42"/>
      <c r="D41" s="48" t="s">
        <v>746</v>
      </c>
      <c r="E41" s="49"/>
      <c r="F41" s="49"/>
      <c r="G41" s="46" t="s">
        <v>584</v>
      </c>
      <c r="H41" s="47">
        <f>H40</f>
        <v>5457.472</v>
      </c>
    </row>
    <row r="42" s="4" customFormat="1" ht="20.1" customHeight="1" spans="1:8">
      <c r="A42" s="42"/>
      <c r="B42" s="42"/>
      <c r="D42" s="48" t="s">
        <v>827</v>
      </c>
      <c r="E42" s="49"/>
      <c r="F42" s="49"/>
      <c r="G42" s="46" t="s">
        <v>584</v>
      </c>
      <c r="H42" s="47">
        <f>H41*1.05</f>
        <v>5730.3456</v>
      </c>
    </row>
    <row r="43" s="4" customFormat="1" ht="20.1" customHeight="1" spans="1:8">
      <c r="A43" s="42"/>
      <c r="B43" s="42"/>
      <c r="D43" s="48" t="s">
        <v>748</v>
      </c>
      <c r="E43" s="49"/>
      <c r="F43" s="49"/>
      <c r="G43" s="46" t="s">
        <v>584</v>
      </c>
      <c r="H43" s="47">
        <f>H42*1.05</f>
        <v>6016.86288</v>
      </c>
    </row>
    <row r="44" s="4" customFormat="1" ht="20.1" customHeight="1" spans="1:8">
      <c r="A44" s="42"/>
      <c r="B44" s="42"/>
      <c r="D44" s="48" t="s">
        <v>749</v>
      </c>
      <c r="E44" s="49"/>
      <c r="F44" s="141"/>
      <c r="G44" s="46" t="s">
        <v>584</v>
      </c>
      <c r="H44" s="47">
        <f>H43*1.05</f>
        <v>6317.706024</v>
      </c>
    </row>
    <row r="45" s="179" customFormat="1" ht="25.5" customHeight="1" spans="1:8">
      <c r="A45" s="1"/>
      <c r="B45" s="1"/>
      <c r="C45" s="66"/>
      <c r="D45" s="64"/>
      <c r="E45" s="65"/>
      <c r="F45" s="65"/>
      <c r="G45" s="66"/>
      <c r="H45" s="67"/>
    </row>
    <row r="46" s="5" customFormat="1" ht="27" customHeight="1" spans="1:8">
      <c r="A46" s="456" t="s">
        <v>844</v>
      </c>
      <c r="B46" s="74"/>
      <c r="C46" s="30" t="s">
        <v>845</v>
      </c>
      <c r="D46" s="30"/>
      <c r="E46" s="30"/>
      <c r="F46" s="30"/>
      <c r="G46" s="30"/>
      <c r="H46" s="30"/>
    </row>
    <row r="47" ht="17.25" customHeight="1" spans="1:8">
      <c r="A47" s="3"/>
      <c r="B47" s="3"/>
      <c r="C47" s="3"/>
      <c r="D47" s="31"/>
      <c r="E47" s="32" t="s">
        <v>570</v>
      </c>
      <c r="F47" s="31">
        <v>1</v>
      </c>
      <c r="G47" s="32" t="s">
        <v>288</v>
      </c>
      <c r="H47" s="33"/>
    </row>
    <row r="48" ht="20.45" customHeight="1" spans="2:8">
      <c r="B48" s="34" t="s">
        <v>194</v>
      </c>
      <c r="C48" s="34" t="s">
        <v>573</v>
      </c>
      <c r="D48" s="34" t="s">
        <v>574</v>
      </c>
      <c r="E48" s="34" t="s">
        <v>6</v>
      </c>
      <c r="F48" s="34" t="s">
        <v>575</v>
      </c>
      <c r="G48" s="34" t="s">
        <v>576</v>
      </c>
      <c r="H48" s="35" t="s">
        <v>577</v>
      </c>
    </row>
    <row r="49" ht="20.45" customHeight="1" spans="2:8">
      <c r="B49" s="34">
        <v>1.00999999046326</v>
      </c>
      <c r="C49" s="36" t="s">
        <v>68</v>
      </c>
      <c r="D49" s="34" t="s">
        <v>240</v>
      </c>
      <c r="E49" s="34" t="s">
        <v>194</v>
      </c>
      <c r="F49" s="34">
        <v>1450</v>
      </c>
      <c r="G49" s="75">
        <f>'Basic Rates'!E22</f>
        <v>20</v>
      </c>
      <c r="H49" s="38">
        <f>G49*F49</f>
        <v>29000</v>
      </c>
    </row>
    <row r="50" ht="20.45" customHeight="1" spans="2:8">
      <c r="B50" s="34">
        <v>1.01999998092651</v>
      </c>
      <c r="C50" s="36" t="s">
        <v>715</v>
      </c>
      <c r="D50" s="457" t="s">
        <v>676</v>
      </c>
      <c r="E50" s="457" t="s">
        <v>676</v>
      </c>
      <c r="F50" s="457" t="s">
        <v>676</v>
      </c>
      <c r="G50" s="457" t="s">
        <v>676</v>
      </c>
      <c r="H50" s="38">
        <f>H49*5/100</f>
        <v>1450</v>
      </c>
    </row>
    <row r="51" ht="20.45" customHeight="1" spans="2:8">
      <c r="B51" s="34">
        <v>1.02999997138977</v>
      </c>
      <c r="C51" s="36" t="s">
        <v>24</v>
      </c>
      <c r="D51" s="34" t="s">
        <v>253</v>
      </c>
      <c r="E51" s="34" t="s">
        <v>254</v>
      </c>
      <c r="F51" s="34">
        <v>4</v>
      </c>
      <c r="G51" s="75">
        <f>'Basic Rates'!E29</f>
        <v>2400</v>
      </c>
      <c r="H51" s="38">
        <f>G51*F51</f>
        <v>9600</v>
      </c>
    </row>
    <row r="52" ht="20.45" customHeight="1" spans="2:8">
      <c r="B52" s="34">
        <v>1.04</v>
      </c>
      <c r="C52" s="36" t="s">
        <v>28</v>
      </c>
      <c r="D52" s="34" t="s">
        <v>433</v>
      </c>
      <c r="E52" s="457" t="s">
        <v>638</v>
      </c>
      <c r="F52" s="34">
        <v>0.25</v>
      </c>
      <c r="G52" s="75">
        <f>'Basic Rates'!E116</f>
        <v>18000</v>
      </c>
      <c r="H52" s="38">
        <f>G52*F52</f>
        <v>4500</v>
      </c>
    </row>
    <row r="53" ht="20.45" customHeight="1" spans="2:8">
      <c r="B53" s="34">
        <v>1.05</v>
      </c>
      <c r="C53" s="36" t="s">
        <v>36</v>
      </c>
      <c r="D53" s="34" t="s">
        <v>525</v>
      </c>
      <c r="E53" s="34" t="s">
        <v>173</v>
      </c>
      <c r="F53" s="34">
        <v>150</v>
      </c>
      <c r="G53" s="75">
        <f>'Basic Rates'!E161</f>
        <v>0.3</v>
      </c>
      <c r="H53" s="38">
        <f>G53*F53</f>
        <v>45</v>
      </c>
    </row>
    <row r="54" ht="20.45" customHeight="1" spans="2:8">
      <c r="B54" s="34">
        <v>1.06</v>
      </c>
      <c r="C54" s="36" t="s">
        <v>217</v>
      </c>
      <c r="D54" s="34" t="s">
        <v>218</v>
      </c>
      <c r="E54" s="34" t="s">
        <v>175</v>
      </c>
      <c r="F54" s="34">
        <v>3</v>
      </c>
      <c r="G54" s="75">
        <f>'Basic Rates'!J12</f>
        <v>3500</v>
      </c>
      <c r="H54" s="38">
        <f>G54*F54</f>
        <v>10500</v>
      </c>
    </row>
    <row r="55" ht="20.45" customHeight="1" spans="2:8">
      <c r="B55" s="34">
        <v>1.07</v>
      </c>
      <c r="C55" s="36" t="s">
        <v>208</v>
      </c>
      <c r="D55" s="34" t="s">
        <v>209</v>
      </c>
      <c r="E55" s="34" t="s">
        <v>175</v>
      </c>
      <c r="F55" s="34">
        <v>4</v>
      </c>
      <c r="G55" s="75">
        <f>'Basic Rates'!J10</f>
        <v>2300</v>
      </c>
      <c r="H55" s="38">
        <f>G55*F55</f>
        <v>9200</v>
      </c>
    </row>
    <row r="56" ht="20.45" customHeight="1" spans="2:8">
      <c r="B56" s="61"/>
      <c r="C56" s="61"/>
      <c r="D56" s="39" t="s">
        <v>579</v>
      </c>
      <c r="E56" s="40">
        <f>$F$47</f>
        <v>1</v>
      </c>
      <c r="F56" s="40" t="str">
        <f>$G$47</f>
        <v>Cube</v>
      </c>
      <c r="G56" s="41"/>
      <c r="H56" s="38">
        <f>SUM(H49:H55)</f>
        <v>64295</v>
      </c>
    </row>
    <row r="57" s="4" customFormat="1" ht="15" customHeight="1" spans="1:8">
      <c r="A57" s="6"/>
      <c r="B57" s="61"/>
      <c r="C57" s="61"/>
      <c r="D57" s="39" t="s">
        <v>580</v>
      </c>
      <c r="E57" s="40" t="str">
        <f>$G$47</f>
        <v>Cube</v>
      </c>
      <c r="F57" s="40"/>
      <c r="G57" s="41"/>
      <c r="H57" s="38">
        <f>H56/F47</f>
        <v>64295</v>
      </c>
    </row>
    <row r="58" s="4" customFormat="1" ht="20.1" customHeight="1" spans="1:8">
      <c r="A58" s="42"/>
      <c r="B58" s="43"/>
      <c r="C58" s="43"/>
      <c r="D58" s="44" t="s">
        <v>581</v>
      </c>
      <c r="E58" s="45"/>
      <c r="F58" s="45"/>
      <c r="G58" s="46" t="s">
        <v>846</v>
      </c>
      <c r="H58" s="47">
        <f>ROUND(H57,0)</f>
        <v>64295</v>
      </c>
    </row>
    <row r="59" s="4" customFormat="1" ht="20.1" customHeight="1" spans="1:8">
      <c r="A59" s="42"/>
      <c r="B59" s="43"/>
      <c r="C59" s="43"/>
      <c r="D59" s="44" t="s">
        <v>581</v>
      </c>
      <c r="E59" s="45"/>
      <c r="F59" s="45"/>
      <c r="G59" s="46" t="s">
        <v>596</v>
      </c>
      <c r="H59" s="47">
        <f>H58/100</f>
        <v>642.95</v>
      </c>
    </row>
    <row r="60" s="4" customFormat="1" ht="20.1" customHeight="1" spans="1:8">
      <c r="A60" s="42"/>
      <c r="B60" s="43"/>
      <c r="C60" s="6"/>
      <c r="D60" s="44" t="s">
        <v>581</v>
      </c>
      <c r="E60" s="45"/>
      <c r="F60" s="45"/>
      <c r="G60" s="46" t="s">
        <v>597</v>
      </c>
      <c r="H60" s="47">
        <f>H58/2.83</f>
        <v>22719.0812720848</v>
      </c>
    </row>
    <row r="61" s="2" customFormat="1" ht="30" customHeight="1" spans="1:9">
      <c r="A61" s="42"/>
      <c r="B61" s="42"/>
      <c r="C61" s="42"/>
      <c r="D61" s="50"/>
      <c r="E61" s="51"/>
      <c r="F61" s="51"/>
      <c r="G61" s="52"/>
      <c r="H61" s="53"/>
      <c r="I61" s="57"/>
    </row>
    <row r="62" s="5" customFormat="1" ht="27" customHeight="1" spans="1:8">
      <c r="A62" s="456" t="s">
        <v>847</v>
      </c>
      <c r="B62" s="74"/>
      <c r="C62" s="30" t="s">
        <v>848</v>
      </c>
      <c r="D62" s="30"/>
      <c r="E62" s="30"/>
      <c r="F62" s="30"/>
      <c r="G62" s="30"/>
      <c r="H62" s="30"/>
    </row>
    <row r="63" ht="17.25" customHeight="1" spans="1:8">
      <c r="A63" s="3"/>
      <c r="B63" s="3"/>
      <c r="C63" s="3"/>
      <c r="D63" s="31"/>
      <c r="E63" s="32" t="s">
        <v>570</v>
      </c>
      <c r="F63" s="31">
        <v>1</v>
      </c>
      <c r="G63" s="32" t="s">
        <v>288</v>
      </c>
      <c r="H63" s="33"/>
    </row>
    <row r="64" ht="30.95" customHeight="1" spans="2:8">
      <c r="B64" s="34" t="s">
        <v>194</v>
      </c>
      <c r="C64" s="34" t="s">
        <v>573</v>
      </c>
      <c r="D64" s="34" t="s">
        <v>574</v>
      </c>
      <c r="E64" s="34" t="s">
        <v>6</v>
      </c>
      <c r="F64" s="34" t="s">
        <v>575</v>
      </c>
      <c r="G64" s="34" t="s">
        <v>576</v>
      </c>
      <c r="H64" s="35" t="s">
        <v>577</v>
      </c>
    </row>
    <row r="65" ht="20.45" customHeight="1" spans="2:8">
      <c r="B65" s="34">
        <v>1.00999999046326</v>
      </c>
      <c r="C65" s="36" t="s">
        <v>68</v>
      </c>
      <c r="D65" s="34" t="s">
        <v>240</v>
      </c>
      <c r="E65" s="34" t="s">
        <v>194</v>
      </c>
      <c r="F65" s="34">
        <v>1450</v>
      </c>
      <c r="G65" s="75">
        <f>'Basic Rates'!E22</f>
        <v>20</v>
      </c>
      <c r="H65" s="38">
        <f>G65*F65</f>
        <v>29000</v>
      </c>
    </row>
    <row r="66" ht="20.45" customHeight="1" spans="2:8">
      <c r="B66" s="34">
        <v>1.01999998092651</v>
      </c>
      <c r="C66" s="36" t="s">
        <v>715</v>
      </c>
      <c r="D66" s="457" t="s">
        <v>676</v>
      </c>
      <c r="E66" s="457" t="s">
        <v>676</v>
      </c>
      <c r="F66" s="457" t="s">
        <v>676</v>
      </c>
      <c r="G66" s="457" t="s">
        <v>676</v>
      </c>
      <c r="H66" s="38">
        <f>H65*5/100</f>
        <v>1450</v>
      </c>
    </row>
    <row r="67" ht="20.45" customHeight="1" spans="2:8">
      <c r="B67" s="34">
        <v>1.02999997138977</v>
      </c>
      <c r="C67" s="36" t="s">
        <v>24</v>
      </c>
      <c r="D67" s="34" t="s">
        <v>253</v>
      </c>
      <c r="E67" s="34" t="s">
        <v>254</v>
      </c>
      <c r="F67" s="34">
        <v>2.333</v>
      </c>
      <c r="G67" s="75">
        <f>'Basic Rates'!E29</f>
        <v>2400</v>
      </c>
      <c r="H67" s="38">
        <f>G67*F67</f>
        <v>5599.2</v>
      </c>
    </row>
    <row r="68" ht="20.45" customHeight="1" spans="2:8">
      <c r="B68" s="34">
        <v>1.04</v>
      </c>
      <c r="C68" s="36" t="s">
        <v>28</v>
      </c>
      <c r="D68" s="34" t="s">
        <v>433</v>
      </c>
      <c r="E68" s="457" t="s">
        <v>638</v>
      </c>
      <c r="F68" s="34">
        <v>0.375</v>
      </c>
      <c r="G68" s="75">
        <f>'Basic Rates'!E116</f>
        <v>18000</v>
      </c>
      <c r="H68" s="38">
        <f>G68*F68</f>
        <v>6750</v>
      </c>
    </row>
    <row r="69" ht="20.45" customHeight="1" spans="2:8">
      <c r="B69" s="34">
        <v>1.05</v>
      </c>
      <c r="C69" s="36" t="s">
        <v>36</v>
      </c>
      <c r="D69" s="34" t="s">
        <v>525</v>
      </c>
      <c r="E69" s="34" t="s">
        <v>173</v>
      </c>
      <c r="F69" s="34">
        <v>150</v>
      </c>
      <c r="G69" s="75">
        <f>'Basic Rates'!E161</f>
        <v>0.3</v>
      </c>
      <c r="H69" s="38">
        <f>G69*F69</f>
        <v>45</v>
      </c>
    </row>
    <row r="70" ht="20.45" customHeight="1" spans="2:8">
      <c r="B70" s="34">
        <v>1.06</v>
      </c>
      <c r="C70" s="36" t="s">
        <v>217</v>
      </c>
      <c r="D70" s="34" t="s">
        <v>218</v>
      </c>
      <c r="E70" s="34" t="s">
        <v>175</v>
      </c>
      <c r="F70" s="34">
        <v>3</v>
      </c>
      <c r="G70" s="75">
        <f>'Basic Rates'!J12</f>
        <v>3500</v>
      </c>
      <c r="H70" s="38">
        <f>G70*F70</f>
        <v>10500</v>
      </c>
    </row>
    <row r="71" ht="20.45" customHeight="1" spans="2:8">
      <c r="B71" s="34">
        <v>1.07</v>
      </c>
      <c r="C71" s="36" t="s">
        <v>208</v>
      </c>
      <c r="D71" s="34" t="s">
        <v>209</v>
      </c>
      <c r="E71" s="34" t="s">
        <v>175</v>
      </c>
      <c r="F71" s="34">
        <v>4</v>
      </c>
      <c r="G71" s="75">
        <f>'Basic Rates'!J10</f>
        <v>2300</v>
      </c>
      <c r="H71" s="38">
        <f>G71*F71</f>
        <v>9200</v>
      </c>
    </row>
    <row r="72" ht="20.45" customHeight="1" spans="2:8">
      <c r="B72" s="61"/>
      <c r="C72" s="61"/>
      <c r="D72" s="39" t="s">
        <v>579</v>
      </c>
      <c r="E72" s="40">
        <f>$F$63</f>
        <v>1</v>
      </c>
      <c r="F72" s="40" t="str">
        <f>$G$63</f>
        <v>Cube</v>
      </c>
      <c r="G72" s="41"/>
      <c r="H72" s="38">
        <f>SUM(H65:H71)</f>
        <v>62544.2</v>
      </c>
    </row>
    <row r="73" ht="20.45" customHeight="1" spans="2:8">
      <c r="B73" s="61"/>
      <c r="C73" s="61"/>
      <c r="D73" s="39" t="s">
        <v>580</v>
      </c>
      <c r="E73" s="40" t="str">
        <f>$G$63</f>
        <v>Cube</v>
      </c>
      <c r="F73" s="40"/>
      <c r="G73" s="41"/>
      <c r="H73" s="38">
        <f>H72/F63</f>
        <v>62544.2</v>
      </c>
    </row>
    <row r="74" s="4" customFormat="1" ht="20.1" customHeight="1" spans="1:8">
      <c r="A74" s="42"/>
      <c r="B74" s="43"/>
      <c r="C74" s="43"/>
      <c r="D74" s="44" t="s">
        <v>581</v>
      </c>
      <c r="E74" s="45"/>
      <c r="F74" s="45"/>
      <c r="G74" s="46" t="s">
        <v>846</v>
      </c>
      <c r="H74" s="47">
        <f>ROUND(H73,0)</f>
        <v>62544</v>
      </c>
    </row>
    <row r="75" s="4" customFormat="1" ht="20.1" customHeight="1" spans="1:8">
      <c r="A75" s="42"/>
      <c r="B75" s="43"/>
      <c r="C75" s="43"/>
      <c r="D75" s="44" t="s">
        <v>581</v>
      </c>
      <c r="E75" s="45"/>
      <c r="F75" s="45"/>
      <c r="G75" s="46" t="s">
        <v>849</v>
      </c>
      <c r="H75" s="47">
        <f>H74/100</f>
        <v>625.44</v>
      </c>
    </row>
    <row r="76" s="4" customFormat="1" ht="20.1" customHeight="1" spans="1:8">
      <c r="A76" s="42"/>
      <c r="B76" s="43"/>
      <c r="C76" s="6"/>
      <c r="D76" s="44" t="s">
        <v>581</v>
      </c>
      <c r="E76" s="45"/>
      <c r="F76" s="45"/>
      <c r="G76" s="46" t="s">
        <v>850</v>
      </c>
      <c r="H76" s="47">
        <f>H74/2.83</f>
        <v>22100.3533568905</v>
      </c>
    </row>
    <row r="77" s="3" customFormat="1" ht="24" customHeight="1" spans="1:8">
      <c r="A77" s="42"/>
      <c r="B77" s="42"/>
      <c r="C77" s="42"/>
      <c r="D77" s="50"/>
      <c r="E77" s="51"/>
      <c r="F77" s="51"/>
      <c r="G77" s="52"/>
      <c r="H77" s="53"/>
    </row>
    <row r="78" s="5" customFormat="1" ht="27" customHeight="1" spans="1:8">
      <c r="A78" s="456" t="s">
        <v>851</v>
      </c>
      <c r="B78" s="74"/>
      <c r="C78" s="30" t="s">
        <v>852</v>
      </c>
      <c r="D78" s="30"/>
      <c r="E78" s="30"/>
      <c r="F78" s="30"/>
      <c r="G78" s="30"/>
      <c r="H78" s="30"/>
    </row>
    <row r="79" ht="17.25" customHeight="1" spans="1:8">
      <c r="A79" s="3"/>
      <c r="B79" s="3"/>
      <c r="C79" s="3"/>
      <c r="D79" s="31"/>
      <c r="E79" s="32" t="s">
        <v>570</v>
      </c>
      <c r="F79" s="31">
        <v>1</v>
      </c>
      <c r="G79" s="32" t="s">
        <v>571</v>
      </c>
      <c r="H79" s="33"/>
    </row>
    <row r="80" ht="20.45" customHeight="1" spans="2:8">
      <c r="B80" s="34" t="s">
        <v>194</v>
      </c>
      <c r="C80" s="34" t="s">
        <v>573</v>
      </c>
      <c r="D80" s="34" t="s">
        <v>574</v>
      </c>
      <c r="E80" s="34" t="s">
        <v>6</v>
      </c>
      <c r="F80" s="34" t="s">
        <v>575</v>
      </c>
      <c r="G80" s="34" t="s">
        <v>576</v>
      </c>
      <c r="H80" s="35" t="s">
        <v>577</v>
      </c>
    </row>
    <row r="81" ht="20.45" customHeight="1" spans="2:8">
      <c r="B81" s="34">
        <v>1.00999999046326</v>
      </c>
      <c r="C81" s="36" t="s">
        <v>68</v>
      </c>
      <c r="D81" s="34" t="s">
        <v>240</v>
      </c>
      <c r="E81" s="34" t="s">
        <v>194</v>
      </c>
      <c r="F81" s="34">
        <v>1630</v>
      </c>
      <c r="G81" s="75">
        <f>'Basic Rates'!E22</f>
        <v>20</v>
      </c>
      <c r="H81" s="38">
        <f>G81*F81</f>
        <v>32600</v>
      </c>
    </row>
    <row r="82" ht="20.45" customHeight="1" spans="2:8">
      <c r="B82" s="34">
        <v>1.01999998092651</v>
      </c>
      <c r="C82" s="36" t="s">
        <v>853</v>
      </c>
      <c r="D82" s="457" t="s">
        <v>676</v>
      </c>
      <c r="E82" s="457" t="s">
        <v>676</v>
      </c>
      <c r="F82" s="457" t="s">
        <v>676</v>
      </c>
      <c r="G82" s="457" t="s">
        <v>676</v>
      </c>
      <c r="H82" s="38">
        <f>(H81)*5/100</f>
        <v>1630</v>
      </c>
    </row>
    <row r="83" ht="20.45" customHeight="1" spans="2:8">
      <c r="B83" s="34">
        <v>1.02999997138977</v>
      </c>
      <c r="C83" s="36" t="s">
        <v>24</v>
      </c>
      <c r="D83" s="34" t="s">
        <v>253</v>
      </c>
      <c r="E83" s="34" t="s">
        <v>254</v>
      </c>
      <c r="F83" s="34">
        <v>4.5</v>
      </c>
      <c r="G83" s="75">
        <f>'Basic Rates'!E29</f>
        <v>2400</v>
      </c>
      <c r="H83" s="38">
        <f>G83*F83</f>
        <v>10800</v>
      </c>
    </row>
    <row r="84" ht="20.45" customHeight="1" spans="2:8">
      <c r="B84" s="34">
        <v>1.04</v>
      </c>
      <c r="C84" s="36" t="s">
        <v>28</v>
      </c>
      <c r="D84" s="34" t="s">
        <v>433</v>
      </c>
      <c r="E84" s="457" t="s">
        <v>638</v>
      </c>
      <c r="F84" s="34">
        <v>0.3</v>
      </c>
      <c r="G84" s="75">
        <f>'Basic Rates'!E116</f>
        <v>18000</v>
      </c>
      <c r="H84" s="38">
        <f>G84*F84</f>
        <v>5400</v>
      </c>
    </row>
    <row r="85" ht="20.45" customHeight="1" spans="2:8">
      <c r="B85" s="34">
        <v>1.05</v>
      </c>
      <c r="C85" s="36" t="s">
        <v>36</v>
      </c>
      <c r="D85" s="34" t="s">
        <v>525</v>
      </c>
      <c r="E85" s="34" t="s">
        <v>173</v>
      </c>
      <c r="F85" s="34">
        <v>170</v>
      </c>
      <c r="G85" s="75">
        <f>'Basic Rates'!$E$161</f>
        <v>0.3</v>
      </c>
      <c r="H85" s="38">
        <f>G85*F85</f>
        <v>51</v>
      </c>
    </row>
    <row r="86" ht="20.45" customHeight="1" spans="2:8">
      <c r="B86" s="34">
        <v>1.06</v>
      </c>
      <c r="C86" s="36" t="s">
        <v>217</v>
      </c>
      <c r="D86" s="34" t="s">
        <v>218</v>
      </c>
      <c r="E86" s="34" t="s">
        <v>175</v>
      </c>
      <c r="F86" s="34">
        <v>3.5</v>
      </c>
      <c r="G86" s="75">
        <f>'Basic Rates'!J12</f>
        <v>3500</v>
      </c>
      <c r="H86" s="38">
        <f>G86*F86</f>
        <v>12250</v>
      </c>
    </row>
    <row r="87" ht="20.45" customHeight="1" spans="2:8">
      <c r="B87" s="34">
        <v>1.07</v>
      </c>
      <c r="C87" s="36" t="s">
        <v>208</v>
      </c>
      <c r="D87" s="34" t="s">
        <v>209</v>
      </c>
      <c r="E87" s="34" t="s">
        <v>175</v>
      </c>
      <c r="F87" s="34">
        <v>5.5</v>
      </c>
      <c r="G87" s="75">
        <f>'Basic Rates'!J10</f>
        <v>2300</v>
      </c>
      <c r="H87" s="38">
        <f>G87*F87</f>
        <v>12650</v>
      </c>
    </row>
    <row r="88" ht="30" customHeight="1" spans="2:8">
      <c r="B88" s="34">
        <v>1.08</v>
      </c>
      <c r="C88" s="36" t="s">
        <v>854</v>
      </c>
      <c r="D88" s="457" t="s">
        <v>676</v>
      </c>
      <c r="E88" s="457" t="s">
        <v>676</v>
      </c>
      <c r="F88" s="457" t="s">
        <v>676</v>
      </c>
      <c r="G88" s="457" t="s">
        <v>676</v>
      </c>
      <c r="H88" s="38">
        <f>(H86+H87)*2/100</f>
        <v>498</v>
      </c>
    </row>
    <row r="89" s="4" customFormat="1" ht="20.1" customHeight="1" spans="1:8">
      <c r="A89" s="6"/>
      <c r="B89" s="61"/>
      <c r="C89" s="61"/>
      <c r="D89" s="39" t="s">
        <v>579</v>
      </c>
      <c r="E89" s="40">
        <f>$F$79</f>
        <v>1</v>
      </c>
      <c r="F89" s="40" t="str">
        <f>$G$79</f>
        <v>Sqr</v>
      </c>
      <c r="G89" s="41"/>
      <c r="H89" s="38">
        <f>SUM(H81:H88)</f>
        <v>75879</v>
      </c>
    </row>
    <row r="90" s="4" customFormat="1" ht="20.1" customHeight="1" spans="1:8">
      <c r="A90" s="6"/>
      <c r="B90" s="61"/>
      <c r="C90" s="61"/>
      <c r="D90" s="39" t="s">
        <v>580</v>
      </c>
      <c r="E90" s="40" t="str">
        <f>$G$79</f>
        <v>Sqr</v>
      </c>
      <c r="F90" s="40"/>
      <c r="G90" s="41"/>
      <c r="H90" s="38">
        <f>H89/F79</f>
        <v>75879</v>
      </c>
    </row>
    <row r="91" s="4" customFormat="1" ht="20.1" customHeight="1" spans="1:8">
      <c r="A91" s="42"/>
      <c r="B91" s="43"/>
      <c r="C91" s="43"/>
      <c r="D91" s="44" t="s">
        <v>581</v>
      </c>
      <c r="E91" s="45"/>
      <c r="F91" s="45"/>
      <c r="G91" s="46" t="s">
        <v>757</v>
      </c>
      <c r="H91" s="47">
        <f>ROUND(H90,0)</f>
        <v>75879</v>
      </c>
    </row>
    <row r="92" s="4" customFormat="1" ht="20.1" customHeight="1" spans="1:8">
      <c r="A92" s="42"/>
      <c r="B92" s="43"/>
      <c r="C92" s="43"/>
      <c r="D92" s="44" t="s">
        <v>581</v>
      </c>
      <c r="E92" s="45"/>
      <c r="F92" s="45"/>
      <c r="G92" s="46" t="s">
        <v>785</v>
      </c>
      <c r="H92" s="47">
        <f>H91/100</f>
        <v>758.79</v>
      </c>
    </row>
    <row r="93" s="4" customFormat="1" ht="20.1" customHeight="1" spans="1:8">
      <c r="A93" s="42"/>
      <c r="B93" s="43"/>
      <c r="C93" s="6"/>
      <c r="D93" s="44" t="s">
        <v>581</v>
      </c>
      <c r="E93" s="45"/>
      <c r="F93" s="45"/>
      <c r="G93" s="46" t="s">
        <v>584</v>
      </c>
      <c r="H93" s="47">
        <f>H92*10.76</f>
        <v>8164.5804</v>
      </c>
    </row>
    <row r="94" s="4" customFormat="1" ht="20.1" customHeight="1" spans="1:8">
      <c r="A94" s="42"/>
      <c r="B94" s="42"/>
      <c r="D94" s="48" t="s">
        <v>746</v>
      </c>
      <c r="E94" s="49"/>
      <c r="F94" s="49"/>
      <c r="G94" s="46" t="s">
        <v>584</v>
      </c>
      <c r="H94" s="47">
        <f>H93</f>
        <v>8164.5804</v>
      </c>
    </row>
    <row r="95" s="4" customFormat="1" ht="20.1" customHeight="1" spans="1:8">
      <c r="A95" s="42"/>
      <c r="B95" s="42"/>
      <c r="D95" s="48" t="s">
        <v>827</v>
      </c>
      <c r="E95" s="49"/>
      <c r="F95" s="49"/>
      <c r="G95" s="46" t="s">
        <v>584</v>
      </c>
      <c r="H95" s="47">
        <f>H94*1.1</f>
        <v>8981.03844</v>
      </c>
    </row>
    <row r="96" s="4" customFormat="1" ht="20.1" customHeight="1" spans="1:8">
      <c r="A96" s="42"/>
      <c r="B96" s="42"/>
      <c r="D96" s="48" t="s">
        <v>748</v>
      </c>
      <c r="E96" s="49"/>
      <c r="F96" s="49"/>
      <c r="G96" s="46" t="s">
        <v>584</v>
      </c>
      <c r="H96" s="47">
        <f>H95*1.1</f>
        <v>9879.142284</v>
      </c>
    </row>
    <row r="97" s="4" customFormat="1" ht="20.1" customHeight="1" spans="1:8">
      <c r="A97" s="42"/>
      <c r="B97" s="42"/>
      <c r="D97" s="48" t="s">
        <v>749</v>
      </c>
      <c r="E97" s="49"/>
      <c r="F97" s="141"/>
      <c r="G97" s="46" t="s">
        <v>584</v>
      </c>
      <c r="H97" s="47">
        <f>H96*1.1</f>
        <v>10867.0565124</v>
      </c>
    </row>
    <row r="98" s="3" customFormat="1" ht="24" customHeight="1" spans="1:8">
      <c r="A98" s="42"/>
      <c r="B98" s="42"/>
      <c r="C98" s="42"/>
      <c r="D98" s="50"/>
      <c r="E98" s="51"/>
      <c r="F98" s="51"/>
      <c r="G98" s="52"/>
      <c r="H98" s="53"/>
    </row>
    <row r="99" s="5" customFormat="1" ht="27" customHeight="1" spans="1:8">
      <c r="A99" s="456" t="s">
        <v>855</v>
      </c>
      <c r="B99" s="74"/>
      <c r="C99" s="30" t="s">
        <v>856</v>
      </c>
      <c r="D99" s="30"/>
      <c r="E99" s="30"/>
      <c r="F99" s="30"/>
      <c r="G99" s="30"/>
      <c r="H99" s="30"/>
    </row>
    <row r="100" ht="17.25" customHeight="1" spans="1:8">
      <c r="A100" s="3"/>
      <c r="B100" s="3"/>
      <c r="C100" s="3"/>
      <c r="D100" s="31"/>
      <c r="E100" s="32" t="s">
        <v>570</v>
      </c>
      <c r="F100" s="31">
        <v>1</v>
      </c>
      <c r="G100" s="32" t="s">
        <v>571</v>
      </c>
      <c r="H100" s="33"/>
    </row>
    <row r="101" ht="20.45" customHeight="1" spans="2:8">
      <c r="B101" s="34" t="s">
        <v>194</v>
      </c>
      <c r="C101" s="34" t="s">
        <v>573</v>
      </c>
      <c r="D101" s="34" t="s">
        <v>574</v>
      </c>
      <c r="E101" s="34" t="s">
        <v>6</v>
      </c>
      <c r="F101" s="34" t="s">
        <v>575</v>
      </c>
      <c r="G101" s="34" t="s">
        <v>576</v>
      </c>
      <c r="H101" s="35" t="s">
        <v>577</v>
      </c>
    </row>
    <row r="102" ht="20.45" customHeight="1" spans="2:8">
      <c r="B102" s="34">
        <v>1.00999999046326</v>
      </c>
      <c r="C102" s="36" t="s">
        <v>68</v>
      </c>
      <c r="D102" s="34" t="s">
        <v>240</v>
      </c>
      <c r="E102" s="34" t="s">
        <v>194</v>
      </c>
      <c r="F102" s="34">
        <v>1090</v>
      </c>
      <c r="G102" s="75">
        <f>'Basic Rates'!E22</f>
        <v>20</v>
      </c>
      <c r="H102" s="38">
        <f t="shared" ref="H102:H108" si="0">G102*F102</f>
        <v>21800</v>
      </c>
    </row>
    <row r="103" ht="20.45" customHeight="1" spans="2:8">
      <c r="B103" s="34">
        <v>1.01999998092651</v>
      </c>
      <c r="C103" s="36" t="s">
        <v>715</v>
      </c>
      <c r="D103" s="457" t="s">
        <v>676</v>
      </c>
      <c r="E103" s="457" t="s">
        <v>676</v>
      </c>
      <c r="F103" s="457" t="s">
        <v>676</v>
      </c>
      <c r="G103" s="457" t="s">
        <v>676</v>
      </c>
      <c r="H103" s="38">
        <f>(H102)*5/100</f>
        <v>1090</v>
      </c>
    </row>
    <row r="104" ht="20.45" customHeight="1" spans="2:8">
      <c r="B104" s="34">
        <v>1.02999997138977</v>
      </c>
      <c r="C104" s="36" t="s">
        <v>24</v>
      </c>
      <c r="D104" s="34" t="s">
        <v>253</v>
      </c>
      <c r="E104" s="34" t="s">
        <v>254</v>
      </c>
      <c r="F104" s="34">
        <v>1.75</v>
      </c>
      <c r="G104" s="75">
        <f>'Basic Rates'!E29</f>
        <v>2400</v>
      </c>
      <c r="H104" s="38">
        <f t="shared" si="0"/>
        <v>4200</v>
      </c>
    </row>
    <row r="105" ht="20.45" customHeight="1" spans="2:8">
      <c r="B105" s="34">
        <v>1.04</v>
      </c>
      <c r="C105" s="36" t="s">
        <v>28</v>
      </c>
      <c r="D105" s="34" t="s">
        <v>433</v>
      </c>
      <c r="E105" s="457" t="s">
        <v>638</v>
      </c>
      <c r="F105" s="34">
        <v>0.3</v>
      </c>
      <c r="G105" s="75">
        <f>'Basic Rates'!E116</f>
        <v>18000</v>
      </c>
      <c r="H105" s="38">
        <f t="shared" si="0"/>
        <v>5400</v>
      </c>
    </row>
    <row r="106" ht="20.45" customHeight="1" spans="2:8">
      <c r="B106" s="34">
        <v>1.05</v>
      </c>
      <c r="C106" s="36" t="s">
        <v>36</v>
      </c>
      <c r="D106" s="34" t="s">
        <v>525</v>
      </c>
      <c r="E106" s="34" t="s">
        <v>173</v>
      </c>
      <c r="F106" s="34">
        <v>115</v>
      </c>
      <c r="G106" s="75">
        <f>'Basic Rates'!E161</f>
        <v>0.3</v>
      </c>
      <c r="H106" s="38">
        <f t="shared" si="0"/>
        <v>34.5</v>
      </c>
    </row>
    <row r="107" ht="20.45" customHeight="1" spans="2:8">
      <c r="B107" s="34">
        <v>1.06</v>
      </c>
      <c r="C107" s="36" t="s">
        <v>217</v>
      </c>
      <c r="D107" s="34" t="s">
        <v>218</v>
      </c>
      <c r="E107" s="34" t="s">
        <v>175</v>
      </c>
      <c r="F107" s="34">
        <v>2.25</v>
      </c>
      <c r="G107" s="75">
        <f>'Basic Rates'!J12</f>
        <v>3500</v>
      </c>
      <c r="H107" s="38">
        <f t="shared" si="0"/>
        <v>7875</v>
      </c>
    </row>
    <row r="108" ht="20.45" customHeight="1" spans="2:8">
      <c r="B108" s="34">
        <v>1.07</v>
      </c>
      <c r="C108" s="36" t="s">
        <v>208</v>
      </c>
      <c r="D108" s="34" t="s">
        <v>209</v>
      </c>
      <c r="E108" s="34" t="s">
        <v>175</v>
      </c>
      <c r="F108" s="34">
        <v>3</v>
      </c>
      <c r="G108" s="75">
        <f>'Basic Rates'!J10</f>
        <v>2300</v>
      </c>
      <c r="H108" s="38">
        <f t="shared" si="0"/>
        <v>6900</v>
      </c>
    </row>
    <row r="109" ht="28.5" customHeight="1" spans="2:8">
      <c r="B109" s="34">
        <v>1.08</v>
      </c>
      <c r="C109" s="36" t="s">
        <v>857</v>
      </c>
      <c r="D109" s="457" t="s">
        <v>676</v>
      </c>
      <c r="E109" s="457" t="s">
        <v>676</v>
      </c>
      <c r="F109" s="457" t="s">
        <v>676</v>
      </c>
      <c r="G109" s="457" t="s">
        <v>676</v>
      </c>
      <c r="H109" s="38">
        <f>(H107+H108)*3/100</f>
        <v>443.25</v>
      </c>
    </row>
    <row r="110" s="4" customFormat="1" ht="20.1" customHeight="1" spans="1:8">
      <c r="A110" s="6"/>
      <c r="B110" s="61"/>
      <c r="C110" s="61"/>
      <c r="D110" s="39" t="s">
        <v>579</v>
      </c>
      <c r="E110" s="40">
        <f>$F$100</f>
        <v>1</v>
      </c>
      <c r="F110" s="40" t="str">
        <f>$G$100</f>
        <v>Sqr</v>
      </c>
      <c r="G110" s="41"/>
      <c r="H110" s="38">
        <f>SUM(H102:H109)</f>
        <v>47742.75</v>
      </c>
    </row>
    <row r="111" s="4" customFormat="1" ht="20.1" customHeight="1" spans="1:8">
      <c r="A111" s="6"/>
      <c r="B111" s="61"/>
      <c r="C111" s="61"/>
      <c r="D111" s="39" t="s">
        <v>580</v>
      </c>
      <c r="E111" s="40" t="str">
        <f>$G$100</f>
        <v>Sqr</v>
      </c>
      <c r="F111" s="40"/>
      <c r="G111" s="41"/>
      <c r="H111" s="38">
        <f>H110/F100</f>
        <v>47742.75</v>
      </c>
    </row>
    <row r="112" s="4" customFormat="1" ht="20.1" customHeight="1" spans="1:8">
      <c r="A112" s="42"/>
      <c r="B112" s="43"/>
      <c r="C112" s="43"/>
      <c r="D112" s="44" t="s">
        <v>581</v>
      </c>
      <c r="E112" s="45"/>
      <c r="F112" s="45"/>
      <c r="G112" s="46" t="s">
        <v>757</v>
      </c>
      <c r="H112" s="47">
        <f>ROUND(H111,0)</f>
        <v>47743</v>
      </c>
    </row>
    <row r="113" s="4" customFormat="1" ht="20.1" customHeight="1" spans="1:8">
      <c r="A113" s="42"/>
      <c r="B113" s="43"/>
      <c r="C113" s="43"/>
      <c r="D113" s="44" t="s">
        <v>581</v>
      </c>
      <c r="E113" s="45"/>
      <c r="F113" s="45"/>
      <c r="G113" s="46" t="s">
        <v>785</v>
      </c>
      <c r="H113" s="47">
        <f>H112/100</f>
        <v>477.43</v>
      </c>
    </row>
    <row r="114" s="4" customFormat="1" ht="20.1" customHeight="1" spans="1:8">
      <c r="A114" s="42"/>
      <c r="B114" s="43"/>
      <c r="C114" s="6"/>
      <c r="D114" s="44" t="s">
        <v>581</v>
      </c>
      <c r="E114" s="45"/>
      <c r="F114" s="45"/>
      <c r="G114" s="46" t="s">
        <v>584</v>
      </c>
      <c r="H114" s="47">
        <f>H113*10.76</f>
        <v>5137.1468</v>
      </c>
    </row>
    <row r="115" s="4" customFormat="1" ht="20.1" customHeight="1" spans="1:8">
      <c r="A115" s="42"/>
      <c r="B115" s="42"/>
      <c r="D115" s="48" t="s">
        <v>746</v>
      </c>
      <c r="E115" s="49"/>
      <c r="F115" s="49"/>
      <c r="G115" s="46" t="s">
        <v>584</v>
      </c>
      <c r="H115" s="47">
        <f>H114</f>
        <v>5137.1468</v>
      </c>
    </row>
    <row r="116" s="4" customFormat="1" ht="20.1" customHeight="1" spans="1:8">
      <c r="A116" s="42"/>
      <c r="B116" s="42"/>
      <c r="D116" s="48" t="s">
        <v>827</v>
      </c>
      <c r="E116" s="49"/>
      <c r="F116" s="49"/>
      <c r="G116" s="46" t="s">
        <v>584</v>
      </c>
      <c r="H116" s="47">
        <f>H115*1.1</f>
        <v>5650.86148</v>
      </c>
    </row>
    <row r="117" s="4" customFormat="1" ht="20.1" customHeight="1" spans="1:8">
      <c r="A117" s="42"/>
      <c r="B117" s="42"/>
      <c r="D117" s="48" t="s">
        <v>748</v>
      </c>
      <c r="E117" s="49"/>
      <c r="F117" s="49"/>
      <c r="G117" s="46" t="s">
        <v>584</v>
      </c>
      <c r="H117" s="47">
        <f>H116*1.1</f>
        <v>6215.947628</v>
      </c>
    </row>
    <row r="118" s="4" customFormat="1" ht="20.1" customHeight="1" spans="1:8">
      <c r="A118" s="42"/>
      <c r="B118" s="42"/>
      <c r="D118" s="48" t="s">
        <v>749</v>
      </c>
      <c r="E118" s="49"/>
      <c r="F118" s="141"/>
      <c r="G118" s="46" t="s">
        <v>584</v>
      </c>
      <c r="H118" s="47">
        <f>H117*1.1</f>
        <v>6837.5423908</v>
      </c>
    </row>
    <row r="119" s="3" customFormat="1" ht="24" customHeight="1" spans="1:8">
      <c r="A119" s="42"/>
      <c r="B119" s="42"/>
      <c r="C119" s="42"/>
      <c r="D119" s="50"/>
      <c r="E119" s="51"/>
      <c r="F119" s="51"/>
      <c r="G119" s="52"/>
      <c r="H119" s="53"/>
    </row>
    <row r="120" s="5" customFormat="1" ht="27" customHeight="1" spans="1:8">
      <c r="A120" s="456" t="s">
        <v>858</v>
      </c>
      <c r="B120" s="74"/>
      <c r="C120" s="30" t="s">
        <v>859</v>
      </c>
      <c r="D120" s="30"/>
      <c r="E120" s="30"/>
      <c r="F120" s="30"/>
      <c r="G120" s="30"/>
      <c r="H120" s="30"/>
    </row>
    <row r="121" ht="17.25" customHeight="1" spans="1:8">
      <c r="A121" s="3"/>
      <c r="B121" s="3"/>
      <c r="C121" s="3"/>
      <c r="D121" s="31"/>
      <c r="E121" s="32" t="s">
        <v>570</v>
      </c>
      <c r="F121" s="31">
        <v>1</v>
      </c>
      <c r="G121" s="32" t="s">
        <v>571</v>
      </c>
      <c r="H121" s="33"/>
    </row>
    <row r="122" ht="20.45" customHeight="1" spans="2:8">
      <c r="B122" s="34" t="s">
        <v>194</v>
      </c>
      <c r="C122" s="34" t="s">
        <v>573</v>
      </c>
      <c r="D122" s="34" t="s">
        <v>574</v>
      </c>
      <c r="E122" s="34" t="s">
        <v>6</v>
      </c>
      <c r="F122" s="34" t="s">
        <v>575</v>
      </c>
      <c r="G122" s="34" t="s">
        <v>576</v>
      </c>
      <c r="H122" s="35" t="s">
        <v>577</v>
      </c>
    </row>
    <row r="123" ht="20.45" customHeight="1" spans="2:8">
      <c r="B123" s="34">
        <v>1.00999999046326</v>
      </c>
      <c r="C123" s="36" t="s">
        <v>860</v>
      </c>
      <c r="D123" s="34" t="s">
        <v>539</v>
      </c>
      <c r="E123" s="34" t="s">
        <v>194</v>
      </c>
      <c r="F123" s="34">
        <v>550</v>
      </c>
      <c r="G123" s="75">
        <f>'Basic Rates'!E168</f>
        <v>8.75</v>
      </c>
      <c r="H123" s="38">
        <f t="shared" ref="H123:H129" si="1">G123*F123</f>
        <v>4812.5</v>
      </c>
    </row>
    <row r="124" ht="20.45" customHeight="1" spans="2:8">
      <c r="B124" s="34">
        <v>1.01999998092651</v>
      </c>
      <c r="C124" s="36" t="s">
        <v>861</v>
      </c>
      <c r="D124" s="457" t="s">
        <v>676</v>
      </c>
      <c r="E124" s="457" t="s">
        <v>676</v>
      </c>
      <c r="F124" s="457" t="s">
        <v>676</v>
      </c>
      <c r="G124" s="457" t="s">
        <v>676</v>
      </c>
      <c r="H124" s="38">
        <f>(H123)*2/100</f>
        <v>96.25</v>
      </c>
    </row>
    <row r="125" ht="20.45" customHeight="1" spans="2:8">
      <c r="B125" s="34">
        <v>1.02999997138977</v>
      </c>
      <c r="C125" s="36" t="s">
        <v>24</v>
      </c>
      <c r="D125" s="34" t="s">
        <v>253</v>
      </c>
      <c r="E125" s="34" t="s">
        <v>254</v>
      </c>
      <c r="F125" s="34">
        <v>1.2</v>
      </c>
      <c r="G125" s="75">
        <f>'Basic Rates'!E29</f>
        <v>2400</v>
      </c>
      <c r="H125" s="38">
        <f t="shared" si="1"/>
        <v>2880</v>
      </c>
    </row>
    <row r="126" ht="20.45" customHeight="1" spans="2:8">
      <c r="B126" s="34">
        <v>1.04</v>
      </c>
      <c r="C126" s="36" t="s">
        <v>28</v>
      </c>
      <c r="D126" s="34" t="s">
        <v>433</v>
      </c>
      <c r="E126" s="457" t="s">
        <v>638</v>
      </c>
      <c r="F126" s="34">
        <v>0.08</v>
      </c>
      <c r="G126" s="75">
        <f>'Basic Rates'!E116</f>
        <v>18000</v>
      </c>
      <c r="H126" s="38">
        <f t="shared" si="1"/>
        <v>1440</v>
      </c>
    </row>
    <row r="127" ht="20.45" customHeight="1" spans="2:8">
      <c r="B127" s="34">
        <v>1.05</v>
      </c>
      <c r="C127" s="36" t="s">
        <v>36</v>
      </c>
      <c r="D127" s="34" t="s">
        <v>525</v>
      </c>
      <c r="E127" s="34" t="s">
        <v>173</v>
      </c>
      <c r="F127" s="34">
        <v>30</v>
      </c>
      <c r="G127" s="75">
        <f>'Basic Rates'!E161</f>
        <v>0.3</v>
      </c>
      <c r="H127" s="38">
        <f t="shared" si="1"/>
        <v>9</v>
      </c>
    </row>
    <row r="128" ht="20.45" customHeight="1" spans="2:8">
      <c r="B128" s="34">
        <v>1.06</v>
      </c>
      <c r="C128" s="36" t="s">
        <v>217</v>
      </c>
      <c r="D128" s="34" t="s">
        <v>218</v>
      </c>
      <c r="E128" s="34" t="s">
        <v>175</v>
      </c>
      <c r="F128" s="34">
        <v>1.5</v>
      </c>
      <c r="G128" s="75">
        <f>'Basic Rates'!J12</f>
        <v>3500</v>
      </c>
      <c r="H128" s="38">
        <f t="shared" si="1"/>
        <v>5250</v>
      </c>
    </row>
    <row r="129" ht="20.45" customHeight="1" spans="2:8">
      <c r="B129" s="34">
        <v>1.07</v>
      </c>
      <c r="C129" s="36" t="s">
        <v>208</v>
      </c>
      <c r="D129" s="34" t="s">
        <v>209</v>
      </c>
      <c r="E129" s="34" t="s">
        <v>175</v>
      </c>
      <c r="F129" s="34">
        <v>2</v>
      </c>
      <c r="G129" s="75">
        <f>'Basic Rates'!J10</f>
        <v>2300</v>
      </c>
      <c r="H129" s="38">
        <f t="shared" si="1"/>
        <v>4600</v>
      </c>
    </row>
    <row r="130" ht="27" customHeight="1" spans="2:8">
      <c r="B130" s="34">
        <v>1.08</v>
      </c>
      <c r="C130" s="36" t="s">
        <v>843</v>
      </c>
      <c r="D130" s="457" t="s">
        <v>676</v>
      </c>
      <c r="E130" s="457" t="s">
        <v>676</v>
      </c>
      <c r="F130" s="457" t="s">
        <v>676</v>
      </c>
      <c r="G130" s="457" t="s">
        <v>676</v>
      </c>
      <c r="H130" s="38">
        <f>(H128+H129)*3/100</f>
        <v>295.5</v>
      </c>
    </row>
    <row r="131" s="4" customFormat="1" ht="20.1" customHeight="1" spans="1:8">
      <c r="A131" s="6"/>
      <c r="B131" s="61"/>
      <c r="C131" s="61"/>
      <c r="D131" s="39" t="s">
        <v>579</v>
      </c>
      <c r="E131" s="40">
        <f>$F$121</f>
        <v>1</v>
      </c>
      <c r="F131" s="40" t="str">
        <f>$G$121</f>
        <v>Sqr</v>
      </c>
      <c r="G131" s="41"/>
      <c r="H131" s="38">
        <f>SUM(H123:H130)</f>
        <v>19383.25</v>
      </c>
    </row>
    <row r="132" s="4" customFormat="1" ht="20.1" customHeight="1" spans="1:8">
      <c r="A132" s="6"/>
      <c r="B132" s="61"/>
      <c r="C132" s="61"/>
      <c r="D132" s="39" t="s">
        <v>580</v>
      </c>
      <c r="E132" s="40" t="str">
        <f>$G$121</f>
        <v>Sqr</v>
      </c>
      <c r="F132" s="40"/>
      <c r="G132" s="41"/>
      <c r="H132" s="38">
        <f>H131/F121</f>
        <v>19383.25</v>
      </c>
    </row>
    <row r="133" s="4" customFormat="1" ht="20.1" customHeight="1" spans="1:8">
      <c r="A133" s="42"/>
      <c r="B133" s="43"/>
      <c r="C133" s="43"/>
      <c r="D133" s="44" t="s">
        <v>581</v>
      </c>
      <c r="E133" s="45"/>
      <c r="F133" s="45"/>
      <c r="G133" s="46" t="s">
        <v>757</v>
      </c>
      <c r="H133" s="47">
        <f>ROUND(H132,0)</f>
        <v>19383</v>
      </c>
    </row>
    <row r="134" s="4" customFormat="1" ht="20.1" customHeight="1" spans="1:8">
      <c r="A134" s="42"/>
      <c r="B134" s="43"/>
      <c r="C134" s="43"/>
      <c r="D134" s="44" t="s">
        <v>581</v>
      </c>
      <c r="E134" s="45"/>
      <c r="F134" s="45"/>
      <c r="G134" s="46" t="s">
        <v>785</v>
      </c>
      <c r="H134" s="47">
        <f>H133/100</f>
        <v>193.83</v>
      </c>
    </row>
    <row r="135" s="4" customFormat="1" ht="20.1" customHeight="1" spans="1:8">
      <c r="A135" s="42"/>
      <c r="B135" s="43"/>
      <c r="C135" s="6"/>
      <c r="D135" s="44" t="s">
        <v>581</v>
      </c>
      <c r="E135" s="45"/>
      <c r="F135" s="45"/>
      <c r="G135" s="46" t="s">
        <v>584</v>
      </c>
      <c r="H135" s="47">
        <f>H134*10.76</f>
        <v>2085.6108</v>
      </c>
    </row>
    <row r="136" s="4" customFormat="1" ht="20.1" customHeight="1" spans="1:8">
      <c r="A136" s="42"/>
      <c r="B136" s="42"/>
      <c r="D136" s="48" t="s">
        <v>746</v>
      </c>
      <c r="E136" s="49"/>
      <c r="F136" s="49"/>
      <c r="G136" s="46" t="s">
        <v>584</v>
      </c>
      <c r="H136" s="47">
        <f>H135</f>
        <v>2085.6108</v>
      </c>
    </row>
    <row r="137" s="4" customFormat="1" ht="20.1" customHeight="1" spans="1:8">
      <c r="A137" s="42"/>
      <c r="B137" s="42"/>
      <c r="D137" s="48" t="s">
        <v>827</v>
      </c>
      <c r="E137" s="49"/>
      <c r="F137" s="49"/>
      <c r="G137" s="46" t="s">
        <v>584</v>
      </c>
      <c r="H137" s="47">
        <f>H136*1.1</f>
        <v>2294.17188</v>
      </c>
    </row>
    <row r="138" s="4" customFormat="1" ht="20.1" customHeight="1" spans="1:8">
      <c r="A138" s="42"/>
      <c r="B138" s="42"/>
      <c r="D138" s="48" t="s">
        <v>748</v>
      </c>
      <c r="E138" s="49"/>
      <c r="F138" s="49"/>
      <c r="G138" s="46" t="s">
        <v>584</v>
      </c>
      <c r="H138" s="47">
        <f>H137*1.1</f>
        <v>2523.589068</v>
      </c>
    </row>
    <row r="139" s="4" customFormat="1" ht="20.1" customHeight="1" spans="1:8">
      <c r="A139" s="42"/>
      <c r="B139" s="42"/>
      <c r="D139" s="48" t="s">
        <v>749</v>
      </c>
      <c r="E139" s="49"/>
      <c r="F139" s="141"/>
      <c r="G139" s="46" t="s">
        <v>584</v>
      </c>
      <c r="H139" s="47">
        <f>H138*1.1</f>
        <v>2775.9479748</v>
      </c>
    </row>
    <row r="140" s="3" customFormat="1" ht="24" customHeight="1" spans="1:8">
      <c r="A140" s="42"/>
      <c r="B140" s="42"/>
      <c r="C140" s="42"/>
      <c r="D140" s="50"/>
      <c r="E140" s="51"/>
      <c r="F140" s="51"/>
      <c r="G140" s="52"/>
      <c r="H140" s="53"/>
    </row>
    <row r="141" s="5" customFormat="1" ht="27" customHeight="1" spans="1:8">
      <c r="A141" s="456" t="s">
        <v>862</v>
      </c>
      <c r="B141" s="74"/>
      <c r="C141" s="30" t="s">
        <v>863</v>
      </c>
      <c r="D141" s="30"/>
      <c r="E141" s="30"/>
      <c r="F141" s="30"/>
      <c r="G141" s="30"/>
      <c r="H141" s="30"/>
    </row>
    <row r="142" ht="17.25" customHeight="1" spans="1:8">
      <c r="A142" s="3"/>
      <c r="B142" s="3"/>
      <c r="C142" s="3"/>
      <c r="D142" s="31"/>
      <c r="E142" s="32" t="s">
        <v>570</v>
      </c>
      <c r="F142" s="31">
        <v>1</v>
      </c>
      <c r="G142" s="32" t="s">
        <v>761</v>
      </c>
      <c r="H142" s="33"/>
    </row>
    <row r="143" ht="20.45" customHeight="1" spans="2:8">
      <c r="B143" s="34" t="s">
        <v>194</v>
      </c>
      <c r="C143" s="34" t="s">
        <v>573</v>
      </c>
      <c r="D143" s="34" t="s">
        <v>574</v>
      </c>
      <c r="E143" s="34" t="s">
        <v>6</v>
      </c>
      <c r="F143" s="34" t="s">
        <v>575</v>
      </c>
      <c r="G143" s="34" t="s">
        <v>576</v>
      </c>
      <c r="H143" s="35" t="s">
        <v>577</v>
      </c>
    </row>
    <row r="144" ht="20.45" customHeight="1" spans="2:8">
      <c r="B144" s="34">
        <v>1.00999999046326</v>
      </c>
      <c r="C144" s="36" t="s">
        <v>860</v>
      </c>
      <c r="D144" s="34" t="s">
        <v>539</v>
      </c>
      <c r="E144" s="34" t="s">
        <v>194</v>
      </c>
      <c r="F144" s="34">
        <v>1060</v>
      </c>
      <c r="G144" s="75">
        <f>'Basic Rates'!E168</f>
        <v>8.75</v>
      </c>
      <c r="H144" s="38">
        <f>G144*F144</f>
        <v>9275</v>
      </c>
    </row>
    <row r="145" ht="20.45" customHeight="1" spans="2:8">
      <c r="B145" s="34">
        <v>1.01999998092651</v>
      </c>
      <c r="C145" s="36" t="s">
        <v>864</v>
      </c>
      <c r="D145" s="457" t="s">
        <v>676</v>
      </c>
      <c r="E145" s="457" t="s">
        <v>676</v>
      </c>
      <c r="F145" s="457" t="s">
        <v>676</v>
      </c>
      <c r="G145" s="457" t="s">
        <v>676</v>
      </c>
      <c r="H145" s="38">
        <f>(H144)*4/100</f>
        <v>371</v>
      </c>
    </row>
    <row r="146" ht="20.45" customHeight="1" spans="2:8">
      <c r="B146" s="34">
        <v>1.02999997138977</v>
      </c>
      <c r="C146" s="36" t="s">
        <v>24</v>
      </c>
      <c r="D146" s="34" t="s">
        <v>253</v>
      </c>
      <c r="E146" s="34" t="s">
        <v>254</v>
      </c>
      <c r="F146" s="34">
        <v>2.5</v>
      </c>
      <c r="G146" s="75">
        <f>'Basic Rates'!E29</f>
        <v>2400</v>
      </c>
      <c r="H146" s="38">
        <f>G146*F146</f>
        <v>6000</v>
      </c>
    </row>
    <row r="147" ht="20.45" customHeight="1" spans="2:8">
      <c r="B147" s="34">
        <v>1.04</v>
      </c>
      <c r="C147" s="36" t="s">
        <v>28</v>
      </c>
      <c r="D147" s="34" t="s">
        <v>433</v>
      </c>
      <c r="E147" s="457" t="s">
        <v>638</v>
      </c>
      <c r="F147" s="34">
        <v>0.18</v>
      </c>
      <c r="G147" s="75">
        <f>'Basic Rates'!E116</f>
        <v>18000</v>
      </c>
      <c r="H147" s="38">
        <f>G147*F147</f>
        <v>3240</v>
      </c>
    </row>
    <row r="148" ht="20.45" customHeight="1" spans="2:8">
      <c r="B148" s="34">
        <v>1.05</v>
      </c>
      <c r="C148" s="36" t="s">
        <v>36</v>
      </c>
      <c r="D148" s="34" t="s">
        <v>525</v>
      </c>
      <c r="E148" s="34" t="s">
        <v>173</v>
      </c>
      <c r="F148" s="34">
        <v>100</v>
      </c>
      <c r="G148" s="75">
        <f>'Basic Rates'!E161</f>
        <v>0.3</v>
      </c>
      <c r="H148" s="38">
        <f>G148*F148</f>
        <v>30</v>
      </c>
    </row>
    <row r="149" ht="20.45" customHeight="1" spans="2:8">
      <c r="B149" s="34">
        <v>1.06</v>
      </c>
      <c r="C149" s="36" t="s">
        <v>217</v>
      </c>
      <c r="D149" s="34" t="s">
        <v>218</v>
      </c>
      <c r="E149" s="34" t="s">
        <v>175</v>
      </c>
      <c r="F149" s="34">
        <v>2.25</v>
      </c>
      <c r="G149" s="75">
        <f>'Basic Rates'!J12</f>
        <v>3500</v>
      </c>
      <c r="H149" s="38">
        <f>G149*F149</f>
        <v>7875</v>
      </c>
    </row>
    <row r="150" ht="20.45" customHeight="1" spans="2:8">
      <c r="B150" s="34">
        <v>1.07</v>
      </c>
      <c r="C150" s="36" t="s">
        <v>208</v>
      </c>
      <c r="D150" s="34" t="s">
        <v>209</v>
      </c>
      <c r="E150" s="34" t="s">
        <v>175</v>
      </c>
      <c r="F150" s="34">
        <v>3.75</v>
      </c>
      <c r="G150" s="75">
        <f>'Basic Rates'!J10</f>
        <v>2300</v>
      </c>
      <c r="H150" s="38">
        <f>G150*F150</f>
        <v>8625</v>
      </c>
    </row>
    <row r="151" ht="27" customHeight="1" spans="2:8">
      <c r="B151" s="34">
        <v>1.08</v>
      </c>
      <c r="C151" s="36" t="s">
        <v>857</v>
      </c>
      <c r="D151" s="457" t="s">
        <v>676</v>
      </c>
      <c r="E151" s="457" t="s">
        <v>676</v>
      </c>
      <c r="F151" s="457" t="s">
        <v>676</v>
      </c>
      <c r="G151" s="457" t="s">
        <v>676</v>
      </c>
      <c r="H151" s="38">
        <f>(H149+H150)*3/100</f>
        <v>495</v>
      </c>
    </row>
    <row r="152" s="4" customFormat="1" ht="20.1" customHeight="1" spans="1:8">
      <c r="A152" s="6"/>
      <c r="B152" s="61"/>
      <c r="C152" s="61"/>
      <c r="D152" s="39" t="s">
        <v>579</v>
      </c>
      <c r="E152" s="40">
        <f>$F$142</f>
        <v>1</v>
      </c>
      <c r="F152" s="40" t="str">
        <f>$G$142</f>
        <v>Sq</v>
      </c>
      <c r="G152" s="41"/>
      <c r="H152" s="38">
        <f>SUM(H144:H151)</f>
        <v>35911</v>
      </c>
    </row>
    <row r="153" s="4" customFormat="1" ht="20.1" customHeight="1" spans="1:8">
      <c r="A153" s="6"/>
      <c r="B153" s="61"/>
      <c r="C153" s="61"/>
      <c r="D153" s="39" t="s">
        <v>580</v>
      </c>
      <c r="E153" s="40" t="str">
        <f>$G$142</f>
        <v>Sq</v>
      </c>
      <c r="F153" s="40"/>
      <c r="G153" s="41"/>
      <c r="H153" s="38">
        <f>H152/F142</f>
        <v>35911</v>
      </c>
    </row>
    <row r="154" s="4" customFormat="1" ht="20.1" customHeight="1" spans="1:8">
      <c r="A154" s="42"/>
      <c r="B154" s="43"/>
      <c r="C154" s="43"/>
      <c r="D154" s="44" t="s">
        <v>581</v>
      </c>
      <c r="E154" s="45"/>
      <c r="F154" s="45"/>
      <c r="G154" s="46" t="s">
        <v>757</v>
      </c>
      <c r="H154" s="47">
        <f>ROUND(H153,0)</f>
        <v>35911</v>
      </c>
    </row>
    <row r="155" s="4" customFormat="1" ht="20.1" customHeight="1" spans="1:8">
      <c r="A155" s="42"/>
      <c r="B155" s="43"/>
      <c r="C155" s="43"/>
      <c r="D155" s="44" t="s">
        <v>581</v>
      </c>
      <c r="E155" s="45"/>
      <c r="F155" s="45"/>
      <c r="G155" s="46" t="s">
        <v>785</v>
      </c>
      <c r="H155" s="47">
        <f>H154/100</f>
        <v>359.11</v>
      </c>
    </row>
    <row r="156" s="4" customFormat="1" ht="20.1" customHeight="1" spans="1:8">
      <c r="A156" s="42"/>
      <c r="B156" s="43"/>
      <c r="C156" s="6"/>
      <c r="D156" s="44" t="s">
        <v>581</v>
      </c>
      <c r="E156" s="45"/>
      <c r="F156" s="45"/>
      <c r="G156" s="46" t="s">
        <v>584</v>
      </c>
      <c r="H156" s="47">
        <f>H155*10.76</f>
        <v>3864.0236</v>
      </c>
    </row>
    <row r="157" s="4" customFormat="1" ht="20.1" customHeight="1" spans="1:8">
      <c r="A157" s="42"/>
      <c r="B157" s="42"/>
      <c r="D157" s="48" t="s">
        <v>746</v>
      </c>
      <c r="E157" s="49"/>
      <c r="F157" s="49"/>
      <c r="G157" s="46" t="s">
        <v>584</v>
      </c>
      <c r="H157" s="47">
        <f>H156</f>
        <v>3864.0236</v>
      </c>
    </row>
    <row r="158" s="4" customFormat="1" ht="20.1" customHeight="1" spans="1:8">
      <c r="A158" s="42"/>
      <c r="B158" s="42"/>
      <c r="D158" s="48" t="s">
        <v>827</v>
      </c>
      <c r="E158" s="49"/>
      <c r="F158" s="49"/>
      <c r="G158" s="46" t="s">
        <v>584</v>
      </c>
      <c r="H158" s="47">
        <f>H157*1.1</f>
        <v>4250.42596</v>
      </c>
    </row>
    <row r="159" s="4" customFormat="1" ht="20.1" customHeight="1" spans="1:8">
      <c r="A159" s="42"/>
      <c r="B159" s="42"/>
      <c r="D159" s="48" t="s">
        <v>748</v>
      </c>
      <c r="E159" s="49"/>
      <c r="F159" s="49"/>
      <c r="G159" s="46" t="s">
        <v>584</v>
      </c>
      <c r="H159" s="47">
        <f>H158*1.1</f>
        <v>4675.468556</v>
      </c>
    </row>
    <row r="160" s="4" customFormat="1" ht="20.1" customHeight="1" spans="1:8">
      <c r="A160" s="42"/>
      <c r="B160" s="42"/>
      <c r="D160" s="48" t="s">
        <v>749</v>
      </c>
      <c r="E160" s="49"/>
      <c r="F160" s="141"/>
      <c r="G160" s="46" t="s">
        <v>584</v>
      </c>
      <c r="H160" s="47">
        <f>H159*1.1</f>
        <v>5143.0154116</v>
      </c>
    </row>
    <row r="161" s="3" customFormat="1" ht="24" customHeight="1" spans="1:8">
      <c r="A161" s="42"/>
      <c r="B161" s="42"/>
      <c r="C161" s="42"/>
      <c r="D161" s="50"/>
      <c r="E161" s="51"/>
      <c r="F161" s="51"/>
      <c r="G161" s="52"/>
      <c r="H161" s="53"/>
    </row>
    <row r="162" s="5" customFormat="1" ht="27" customHeight="1" spans="1:8">
      <c r="A162" s="456" t="s">
        <v>865</v>
      </c>
      <c r="B162" s="74"/>
      <c r="C162" s="30" t="s">
        <v>866</v>
      </c>
      <c r="D162" s="30"/>
      <c r="E162" s="30"/>
      <c r="F162" s="30"/>
      <c r="G162" s="30"/>
      <c r="H162" s="30"/>
    </row>
    <row r="163" ht="17.25" customHeight="1" spans="1:8">
      <c r="A163" s="3"/>
      <c r="B163" s="3"/>
      <c r="C163" s="3"/>
      <c r="D163" s="31"/>
      <c r="E163" s="32" t="s">
        <v>570</v>
      </c>
      <c r="F163" s="31">
        <v>1</v>
      </c>
      <c r="G163" s="32" t="s">
        <v>571</v>
      </c>
      <c r="H163" s="33"/>
    </row>
    <row r="164" ht="20.45" customHeight="1" spans="2:8">
      <c r="B164" s="34" t="s">
        <v>194</v>
      </c>
      <c r="C164" s="34" t="s">
        <v>573</v>
      </c>
      <c r="D164" s="34" t="s">
        <v>574</v>
      </c>
      <c r="E164" s="34" t="s">
        <v>6</v>
      </c>
      <c r="F164" s="34" t="s">
        <v>575</v>
      </c>
      <c r="G164" s="34" t="s">
        <v>576</v>
      </c>
      <c r="H164" s="35" t="s">
        <v>577</v>
      </c>
    </row>
    <row r="165" ht="20.45" customHeight="1" spans="2:8">
      <c r="B165" s="34">
        <v>1.00999999046326</v>
      </c>
      <c r="C165" s="36" t="s">
        <v>860</v>
      </c>
      <c r="D165" s="34" t="s">
        <v>539</v>
      </c>
      <c r="E165" s="34" t="s">
        <v>194</v>
      </c>
      <c r="F165" s="34">
        <v>1630</v>
      </c>
      <c r="G165" s="75">
        <f>'Basic Rates'!E168</f>
        <v>8.75</v>
      </c>
      <c r="H165" s="38">
        <f>G165*F165</f>
        <v>14262.5</v>
      </c>
    </row>
    <row r="166" ht="20.45" customHeight="1" spans="2:8">
      <c r="B166" s="34">
        <v>1.01999998092651</v>
      </c>
      <c r="C166" s="36" t="s">
        <v>861</v>
      </c>
      <c r="D166" s="457" t="s">
        <v>676</v>
      </c>
      <c r="E166" s="457" t="s">
        <v>676</v>
      </c>
      <c r="F166" s="457" t="s">
        <v>676</v>
      </c>
      <c r="G166" s="457" t="s">
        <v>676</v>
      </c>
      <c r="H166" s="38">
        <f>(H165)*2/100</f>
        <v>285.25</v>
      </c>
    </row>
    <row r="167" ht="20.45" customHeight="1" spans="2:8">
      <c r="B167" s="34">
        <v>1.02999997138977</v>
      </c>
      <c r="C167" s="36" t="s">
        <v>24</v>
      </c>
      <c r="D167" s="34" t="s">
        <v>253</v>
      </c>
      <c r="E167" s="34" t="s">
        <v>254</v>
      </c>
      <c r="F167" s="34">
        <v>4.5</v>
      </c>
      <c r="G167" s="75">
        <f>'Basic Rates'!E29</f>
        <v>2400</v>
      </c>
      <c r="H167" s="38">
        <f>G167*F167</f>
        <v>10800</v>
      </c>
    </row>
    <row r="168" ht="20.45" customHeight="1" spans="2:8">
      <c r="B168" s="34">
        <v>1.04</v>
      </c>
      <c r="C168" s="36" t="s">
        <v>28</v>
      </c>
      <c r="D168" s="34" t="s">
        <v>433</v>
      </c>
      <c r="E168" s="457" t="s">
        <v>638</v>
      </c>
      <c r="F168" s="34">
        <v>0.3</v>
      </c>
      <c r="G168" s="75">
        <f>'Basic Rates'!E116</f>
        <v>18000</v>
      </c>
      <c r="H168" s="38">
        <f>G168*F168</f>
        <v>5400</v>
      </c>
    </row>
    <row r="169" ht="20.45" customHeight="1" spans="2:8">
      <c r="B169" s="34">
        <v>1.05</v>
      </c>
      <c r="C169" s="36" t="s">
        <v>36</v>
      </c>
      <c r="D169" s="34" t="s">
        <v>525</v>
      </c>
      <c r="E169" s="34" t="s">
        <v>173</v>
      </c>
      <c r="F169" s="34">
        <v>50</v>
      </c>
      <c r="G169" s="75">
        <f>'Basic Rates'!$E$161</f>
        <v>0.3</v>
      </c>
      <c r="H169" s="38">
        <f>G169*F169</f>
        <v>15</v>
      </c>
    </row>
    <row r="170" ht="20.45" customHeight="1" spans="2:8">
      <c r="B170" s="34">
        <v>1.06</v>
      </c>
      <c r="C170" s="36" t="s">
        <v>217</v>
      </c>
      <c r="D170" s="34" t="s">
        <v>218</v>
      </c>
      <c r="E170" s="34" t="s">
        <v>175</v>
      </c>
      <c r="F170" s="34">
        <v>3.75</v>
      </c>
      <c r="G170" s="75">
        <f>'Basic Rates'!J12</f>
        <v>3500</v>
      </c>
      <c r="H170" s="38">
        <f>G170*F170</f>
        <v>13125</v>
      </c>
    </row>
    <row r="171" ht="20.45" customHeight="1" spans="2:8">
      <c r="B171" s="34">
        <v>1.07</v>
      </c>
      <c r="C171" s="36" t="s">
        <v>208</v>
      </c>
      <c r="D171" s="34" t="s">
        <v>209</v>
      </c>
      <c r="E171" s="34" t="s">
        <v>175</v>
      </c>
      <c r="F171" s="34">
        <v>5.5</v>
      </c>
      <c r="G171" s="75">
        <f>'Basic Rates'!J10</f>
        <v>2300</v>
      </c>
      <c r="H171" s="38">
        <f>G171*F171</f>
        <v>12650</v>
      </c>
    </row>
    <row r="172" ht="27" customHeight="1" spans="2:8">
      <c r="B172" s="34">
        <v>1.08</v>
      </c>
      <c r="C172" s="36" t="s">
        <v>854</v>
      </c>
      <c r="D172" s="457" t="s">
        <v>676</v>
      </c>
      <c r="E172" s="457" t="s">
        <v>676</v>
      </c>
      <c r="F172" s="457" t="s">
        <v>676</v>
      </c>
      <c r="G172" s="457" t="s">
        <v>676</v>
      </c>
      <c r="H172" s="38">
        <f>(H170+H171)*2/100</f>
        <v>515.5</v>
      </c>
    </row>
    <row r="173" s="4" customFormat="1" ht="20.1" customHeight="1" spans="1:8">
      <c r="A173" s="6"/>
      <c r="B173" s="61"/>
      <c r="C173" s="61"/>
      <c r="D173" s="39" t="s">
        <v>579</v>
      </c>
      <c r="E173" s="40">
        <f>$F$163</f>
        <v>1</v>
      </c>
      <c r="F173" s="40" t="str">
        <f>$G$163</f>
        <v>Sqr</v>
      </c>
      <c r="G173" s="41"/>
      <c r="H173" s="38">
        <f>SUM(H165:H172)</f>
        <v>57053.25</v>
      </c>
    </row>
    <row r="174" s="4" customFormat="1" ht="20.1" customHeight="1" spans="1:8">
      <c r="A174" s="6"/>
      <c r="B174" s="61"/>
      <c r="C174" s="61"/>
      <c r="D174" s="39" t="s">
        <v>580</v>
      </c>
      <c r="E174" s="40" t="str">
        <f>$G$163</f>
        <v>Sqr</v>
      </c>
      <c r="F174" s="40"/>
      <c r="G174" s="41"/>
      <c r="H174" s="38">
        <f>H173/F163</f>
        <v>57053.25</v>
      </c>
    </row>
    <row r="175" s="4" customFormat="1" ht="20.1" customHeight="1" spans="1:8">
      <c r="A175" s="42"/>
      <c r="B175" s="43"/>
      <c r="C175" s="43"/>
      <c r="D175" s="44" t="s">
        <v>581</v>
      </c>
      <c r="E175" s="45"/>
      <c r="F175" s="45"/>
      <c r="G175" s="46" t="s">
        <v>757</v>
      </c>
      <c r="H175" s="47">
        <f>ROUND(H174,0)</f>
        <v>57053</v>
      </c>
    </row>
    <row r="176" s="4" customFormat="1" ht="20.1" customHeight="1" spans="1:8">
      <c r="A176" s="42"/>
      <c r="B176" s="43"/>
      <c r="C176" s="43"/>
      <c r="D176" s="44" t="s">
        <v>581</v>
      </c>
      <c r="E176" s="45"/>
      <c r="F176" s="45"/>
      <c r="G176" s="46" t="s">
        <v>785</v>
      </c>
      <c r="H176" s="47">
        <f>H175/100</f>
        <v>570.53</v>
      </c>
    </row>
    <row r="177" s="4" customFormat="1" ht="20.1" customHeight="1" spans="1:8">
      <c r="A177" s="42"/>
      <c r="B177" s="43"/>
      <c r="C177" s="6"/>
      <c r="D177" s="44" t="s">
        <v>581</v>
      </c>
      <c r="E177" s="45"/>
      <c r="F177" s="45"/>
      <c r="G177" s="46" t="s">
        <v>584</v>
      </c>
      <c r="H177" s="47">
        <f>H176*10.76</f>
        <v>6138.9028</v>
      </c>
    </row>
    <row r="178" s="4" customFormat="1" ht="20.1" customHeight="1" spans="1:8">
      <c r="A178" s="42"/>
      <c r="B178" s="42"/>
      <c r="D178" s="48" t="s">
        <v>746</v>
      </c>
      <c r="E178" s="49"/>
      <c r="F178" s="49"/>
      <c r="G178" s="46" t="s">
        <v>584</v>
      </c>
      <c r="H178" s="47">
        <f>H177</f>
        <v>6138.9028</v>
      </c>
    </row>
    <row r="179" s="4" customFormat="1" ht="20.1" customHeight="1" spans="1:8">
      <c r="A179" s="42"/>
      <c r="B179" s="42"/>
      <c r="D179" s="48" t="s">
        <v>827</v>
      </c>
      <c r="E179" s="49"/>
      <c r="F179" s="49"/>
      <c r="G179" s="46" t="s">
        <v>584</v>
      </c>
      <c r="H179" s="47">
        <f>H178*1.1</f>
        <v>6752.79308</v>
      </c>
    </row>
    <row r="180" s="4" customFormat="1" ht="20.1" customHeight="1" spans="1:8">
      <c r="A180" s="42"/>
      <c r="B180" s="42"/>
      <c r="D180" s="48" t="s">
        <v>748</v>
      </c>
      <c r="E180" s="49"/>
      <c r="F180" s="49"/>
      <c r="G180" s="46" t="s">
        <v>584</v>
      </c>
      <c r="H180" s="47">
        <f>H179*1.1</f>
        <v>7428.072388</v>
      </c>
    </row>
    <row r="181" s="4" customFormat="1" ht="20.1" customHeight="1" spans="1:8">
      <c r="A181" s="42"/>
      <c r="B181" s="42"/>
      <c r="D181" s="48" t="s">
        <v>749</v>
      </c>
      <c r="E181" s="49"/>
      <c r="F181" s="141"/>
      <c r="G181" s="46" t="s">
        <v>584</v>
      </c>
      <c r="H181" s="47">
        <f>H180*1.1</f>
        <v>8170.8796268</v>
      </c>
    </row>
    <row r="182" s="3" customFormat="1" ht="24" customHeight="1" spans="1:8">
      <c r="A182" s="42"/>
      <c r="B182" s="42"/>
      <c r="C182" s="42"/>
      <c r="D182" s="50"/>
      <c r="E182" s="51"/>
      <c r="F182" s="51"/>
      <c r="G182" s="52"/>
      <c r="H182" s="53"/>
    </row>
    <row r="183" s="5" customFormat="1" ht="27" customHeight="1" spans="1:8">
      <c r="A183" s="456" t="s">
        <v>867</v>
      </c>
      <c r="B183" s="74"/>
      <c r="C183" s="30" t="s">
        <v>868</v>
      </c>
      <c r="D183" s="30"/>
      <c r="E183" s="30"/>
      <c r="F183" s="30"/>
      <c r="G183" s="30"/>
      <c r="H183" s="30"/>
    </row>
    <row r="184" ht="17.25" customHeight="1" spans="1:8">
      <c r="A184" s="3"/>
      <c r="B184" s="3"/>
      <c r="C184" s="3"/>
      <c r="D184" s="31"/>
      <c r="E184" s="32" t="s">
        <v>570</v>
      </c>
      <c r="F184" s="31">
        <v>1</v>
      </c>
      <c r="G184" s="32" t="s">
        <v>571</v>
      </c>
      <c r="H184" s="33"/>
    </row>
    <row r="185" ht="20.45" customHeight="1" spans="2:8">
      <c r="B185" s="34" t="s">
        <v>194</v>
      </c>
      <c r="C185" s="34" t="s">
        <v>573</v>
      </c>
      <c r="D185" s="34" t="s">
        <v>574</v>
      </c>
      <c r="E185" s="34" t="s">
        <v>6</v>
      </c>
      <c r="F185" s="34" t="s">
        <v>575</v>
      </c>
      <c r="G185" s="34" t="s">
        <v>576</v>
      </c>
      <c r="H185" s="35" t="s">
        <v>577</v>
      </c>
    </row>
    <row r="186" ht="20.45" customHeight="1" spans="2:8">
      <c r="B186" s="34">
        <v>1.01</v>
      </c>
      <c r="C186" s="36" t="s">
        <v>24</v>
      </c>
      <c r="D186" s="34" t="s">
        <v>253</v>
      </c>
      <c r="E186" s="34" t="s">
        <v>254</v>
      </c>
      <c r="F186" s="34">
        <v>0.5</v>
      </c>
      <c r="G186" s="75">
        <f>'Basic Rates'!E29</f>
        <v>2400</v>
      </c>
      <c r="H186" s="38">
        <f t="shared" ref="H186:H191" si="2">G186*F186</f>
        <v>1200</v>
      </c>
    </row>
    <row r="187" ht="20.45" customHeight="1" spans="2:8">
      <c r="B187" s="34">
        <f>B186+0.01</f>
        <v>1.02</v>
      </c>
      <c r="C187" s="36" t="s">
        <v>28</v>
      </c>
      <c r="D187" s="34" t="s">
        <v>433</v>
      </c>
      <c r="E187" s="457" t="s">
        <v>638</v>
      </c>
      <c r="F187" s="34">
        <v>0.01</v>
      </c>
      <c r="G187" s="75">
        <f>'Basic Rates'!$E$116</f>
        <v>18000</v>
      </c>
      <c r="H187" s="38">
        <f t="shared" si="2"/>
        <v>180</v>
      </c>
    </row>
    <row r="188" ht="20.45" customHeight="1" spans="2:8">
      <c r="B188" s="34">
        <f>B187+0.01</f>
        <v>1.03</v>
      </c>
      <c r="C188" s="36" t="s">
        <v>171</v>
      </c>
      <c r="D188" s="34" t="s">
        <v>172</v>
      </c>
      <c r="E188" s="34" t="s">
        <v>173</v>
      </c>
      <c r="F188" s="34">
        <v>0.1</v>
      </c>
      <c r="G188" s="75">
        <f>'Basic Rates'!E4</f>
        <v>254</v>
      </c>
      <c r="H188" s="38">
        <f t="shared" si="2"/>
        <v>25.4</v>
      </c>
    </row>
    <row r="189" ht="20.45" customHeight="1" spans="2:8">
      <c r="B189" s="34">
        <f>B188+0.01</f>
        <v>1.04</v>
      </c>
      <c r="C189" s="36" t="s">
        <v>36</v>
      </c>
      <c r="D189" s="34" t="s">
        <v>525</v>
      </c>
      <c r="E189" s="34" t="s">
        <v>173</v>
      </c>
      <c r="F189" s="34">
        <v>10</v>
      </c>
      <c r="G189" s="75">
        <f>'Basic Rates'!$E$161</f>
        <v>0.3</v>
      </c>
      <c r="H189" s="38">
        <f t="shared" si="2"/>
        <v>3</v>
      </c>
    </row>
    <row r="190" ht="20.45" customHeight="1" spans="2:8">
      <c r="B190" s="34">
        <f>B189+0.01</f>
        <v>1.05</v>
      </c>
      <c r="C190" s="36" t="s">
        <v>217</v>
      </c>
      <c r="D190" s="34" t="s">
        <v>218</v>
      </c>
      <c r="E190" s="34" t="s">
        <v>175</v>
      </c>
      <c r="F190" s="34">
        <v>5</v>
      </c>
      <c r="G190" s="75">
        <f>'Basic Rates'!$J$12</f>
        <v>3500</v>
      </c>
      <c r="H190" s="38">
        <f t="shared" si="2"/>
        <v>17500</v>
      </c>
    </row>
    <row r="191" ht="20.45" customHeight="1" spans="2:8">
      <c r="B191" s="34">
        <f>B190+0.01</f>
        <v>1.06</v>
      </c>
      <c r="C191" s="36" t="s">
        <v>208</v>
      </c>
      <c r="D191" s="34" t="s">
        <v>209</v>
      </c>
      <c r="E191" s="457" t="s">
        <v>175</v>
      </c>
      <c r="F191" s="34">
        <v>3.5</v>
      </c>
      <c r="G191" s="75">
        <f>'Basic Rates'!$J$10</f>
        <v>2300</v>
      </c>
      <c r="H191" s="38">
        <f t="shared" si="2"/>
        <v>8050</v>
      </c>
    </row>
    <row r="192" s="4" customFormat="1" ht="20.1" customHeight="1" spans="1:8">
      <c r="A192" s="6"/>
      <c r="B192" s="61"/>
      <c r="C192" s="61"/>
      <c r="D192" s="39" t="s">
        <v>579</v>
      </c>
      <c r="E192" s="40">
        <f>$F$184</f>
        <v>1</v>
      </c>
      <c r="F192" s="40" t="str">
        <f>$G$184</f>
        <v>Sqr</v>
      </c>
      <c r="G192" s="41"/>
      <c r="H192" s="38">
        <f>SUM(H186:H191)</f>
        <v>26958.4</v>
      </c>
    </row>
    <row r="193" s="4" customFormat="1" ht="20.1" customHeight="1" spans="1:8">
      <c r="A193" s="6"/>
      <c r="B193" s="61"/>
      <c r="C193" s="61"/>
      <c r="D193" s="39" t="s">
        <v>580</v>
      </c>
      <c r="E193" s="40" t="str">
        <f>$G$184</f>
        <v>Sqr</v>
      </c>
      <c r="F193" s="40"/>
      <c r="G193" s="41"/>
      <c r="H193" s="38">
        <f>H192/F184</f>
        <v>26958.4</v>
      </c>
    </row>
    <row r="194" s="4" customFormat="1" ht="20.1" customHeight="1" spans="1:8">
      <c r="A194" s="42"/>
      <c r="B194" s="43"/>
      <c r="C194" s="43"/>
      <c r="D194" s="44" t="s">
        <v>581</v>
      </c>
      <c r="E194" s="45"/>
      <c r="F194" s="45"/>
      <c r="G194" s="46" t="s">
        <v>757</v>
      </c>
      <c r="H194" s="47">
        <f>ROUND(H193,0)</f>
        <v>26958</v>
      </c>
    </row>
    <row r="195" s="4" customFormat="1" ht="20.1" customHeight="1" spans="1:8">
      <c r="A195" s="42"/>
      <c r="B195" s="43"/>
      <c r="C195" s="43"/>
      <c r="D195" s="44" t="s">
        <v>581</v>
      </c>
      <c r="E195" s="45"/>
      <c r="F195" s="45"/>
      <c r="G195" s="46" t="s">
        <v>785</v>
      </c>
      <c r="H195" s="47">
        <f>H194/100</f>
        <v>269.58</v>
      </c>
    </row>
    <row r="196" s="4" customFormat="1" ht="20.1" customHeight="1" spans="1:8">
      <c r="A196" s="42"/>
      <c r="B196" s="43"/>
      <c r="C196" s="6"/>
      <c r="D196" s="44" t="s">
        <v>581</v>
      </c>
      <c r="E196" s="45"/>
      <c r="F196" s="45"/>
      <c r="G196" s="46" t="s">
        <v>758</v>
      </c>
      <c r="H196" s="47">
        <f>H195*10.76</f>
        <v>2900.6808</v>
      </c>
    </row>
    <row r="197" s="3" customFormat="1" ht="24" customHeight="1" spans="1:8">
      <c r="A197" s="42"/>
      <c r="B197" s="42"/>
      <c r="C197" s="42"/>
      <c r="D197" s="50"/>
      <c r="E197" s="51"/>
      <c r="F197" s="51"/>
      <c r="G197" s="52"/>
      <c r="H197" s="53"/>
    </row>
    <row r="198" s="5" customFormat="1" ht="27" customHeight="1" spans="1:8">
      <c r="A198" s="456" t="s">
        <v>869</v>
      </c>
      <c r="B198" s="74"/>
      <c r="C198" s="30" t="s">
        <v>870</v>
      </c>
      <c r="D198" s="30"/>
      <c r="E198" s="30"/>
      <c r="F198" s="30"/>
      <c r="G198" s="30"/>
      <c r="H198" s="30"/>
    </row>
    <row r="199" ht="17.25" customHeight="1" spans="1:8">
      <c r="A199" s="3"/>
      <c r="B199" s="3"/>
      <c r="C199" s="3"/>
      <c r="D199" s="31"/>
      <c r="E199" s="32" t="s">
        <v>570</v>
      </c>
      <c r="F199" s="31">
        <v>1</v>
      </c>
      <c r="G199" s="32" t="s">
        <v>571</v>
      </c>
      <c r="H199" s="33"/>
    </row>
    <row r="200" ht="20.45" customHeight="1" spans="2:8">
      <c r="B200" s="34" t="s">
        <v>194</v>
      </c>
      <c r="C200" s="34" t="s">
        <v>573</v>
      </c>
      <c r="D200" s="34" t="s">
        <v>574</v>
      </c>
      <c r="E200" s="34" t="s">
        <v>6</v>
      </c>
      <c r="F200" s="34" t="s">
        <v>575</v>
      </c>
      <c r="G200" s="34" t="s">
        <v>576</v>
      </c>
      <c r="H200" s="35" t="s">
        <v>577</v>
      </c>
    </row>
    <row r="201" ht="20.45" customHeight="1" spans="2:8">
      <c r="B201" s="34">
        <v>1.01</v>
      </c>
      <c r="C201" s="36" t="s">
        <v>68</v>
      </c>
      <c r="D201" s="34" t="s">
        <v>240</v>
      </c>
      <c r="E201" s="457" t="s">
        <v>194</v>
      </c>
      <c r="F201" s="34">
        <v>350</v>
      </c>
      <c r="G201" s="75">
        <f>'Basic Rates'!$E$22</f>
        <v>20</v>
      </c>
      <c r="H201" s="38">
        <f t="shared" ref="H201:H206" si="3">G201*F201</f>
        <v>7000</v>
      </c>
    </row>
    <row r="202" ht="20.45" customHeight="1" spans="2:8">
      <c r="B202" s="34">
        <f>B201+0.01</f>
        <v>1.02</v>
      </c>
      <c r="C202" s="36" t="s">
        <v>436</v>
      </c>
      <c r="D202" s="34" t="s">
        <v>437</v>
      </c>
      <c r="E202" s="457" t="s">
        <v>199</v>
      </c>
      <c r="F202" s="34">
        <v>1.2</v>
      </c>
      <c r="G202" s="75">
        <f>'Basic Rates'!E118</f>
        <v>275</v>
      </c>
      <c r="H202" s="38">
        <f t="shared" si="3"/>
        <v>330</v>
      </c>
    </row>
    <row r="203" ht="20.45" customHeight="1" spans="2:8">
      <c r="B203" s="34">
        <f>B202+0.01</f>
        <v>1.03</v>
      </c>
      <c r="C203" s="36" t="s">
        <v>28</v>
      </c>
      <c r="D203" s="34" t="s">
        <v>433</v>
      </c>
      <c r="E203" s="34" t="s">
        <v>638</v>
      </c>
      <c r="F203" s="34">
        <v>0.11</v>
      </c>
      <c r="G203" s="75">
        <f>'Basic Rates'!$E$116</f>
        <v>18000</v>
      </c>
      <c r="H203" s="38">
        <f t="shared" si="3"/>
        <v>1980</v>
      </c>
    </row>
    <row r="204" ht="20.45" customHeight="1" spans="2:8">
      <c r="B204" s="34">
        <f>B203+0.01</f>
        <v>1.04</v>
      </c>
      <c r="C204" s="36" t="s">
        <v>36</v>
      </c>
      <c r="D204" s="34" t="s">
        <v>525</v>
      </c>
      <c r="E204" s="34" t="s">
        <v>173</v>
      </c>
      <c r="F204" s="34">
        <v>45</v>
      </c>
      <c r="G204" s="75">
        <f>'Basic Rates'!$E$161</f>
        <v>0.3</v>
      </c>
      <c r="H204" s="38">
        <f t="shared" si="3"/>
        <v>13.5</v>
      </c>
    </row>
    <row r="205" ht="20.45" customHeight="1" spans="2:8">
      <c r="B205" s="34">
        <f>B204+0.01</f>
        <v>1.05</v>
      </c>
      <c r="C205" s="36" t="s">
        <v>217</v>
      </c>
      <c r="D205" s="34" t="s">
        <v>218</v>
      </c>
      <c r="E205" s="457" t="s">
        <v>175</v>
      </c>
      <c r="F205" s="34">
        <v>1.25</v>
      </c>
      <c r="G205" s="75">
        <f>'Basic Rates'!$J$12</f>
        <v>3500</v>
      </c>
      <c r="H205" s="38">
        <f t="shared" si="3"/>
        <v>4375</v>
      </c>
    </row>
    <row r="206" ht="20.45" customHeight="1" spans="2:8">
      <c r="B206" s="34">
        <f>B205+0.01</f>
        <v>1.06</v>
      </c>
      <c r="C206" s="36" t="s">
        <v>208</v>
      </c>
      <c r="D206" s="34" t="s">
        <v>209</v>
      </c>
      <c r="E206" s="457" t="s">
        <v>175</v>
      </c>
      <c r="F206" s="34">
        <v>2.5</v>
      </c>
      <c r="G206" s="75">
        <f>'Basic Rates'!$J$10</f>
        <v>2300</v>
      </c>
      <c r="H206" s="38">
        <f t="shared" si="3"/>
        <v>5750</v>
      </c>
    </row>
    <row r="207" s="4" customFormat="1" ht="20.1" customHeight="1" spans="1:8">
      <c r="A207" s="6"/>
      <c r="B207" s="61"/>
      <c r="C207" s="61"/>
      <c r="D207" s="39" t="s">
        <v>579</v>
      </c>
      <c r="E207" s="40">
        <f>$F$199</f>
        <v>1</v>
      </c>
      <c r="F207" s="40" t="str">
        <f>$G$199</f>
        <v>Sqr</v>
      </c>
      <c r="G207" s="41"/>
      <c r="H207" s="38">
        <f>SUM(H201:H206)</f>
        <v>19448.5</v>
      </c>
    </row>
    <row r="208" s="4" customFormat="1" ht="20.1" customHeight="1" spans="1:8">
      <c r="A208" s="6"/>
      <c r="B208" s="61"/>
      <c r="C208" s="61"/>
      <c r="D208" s="39" t="s">
        <v>580</v>
      </c>
      <c r="E208" s="40" t="str">
        <f>$G$199</f>
        <v>Sqr</v>
      </c>
      <c r="F208" s="40"/>
      <c r="G208" s="41"/>
      <c r="H208" s="38">
        <f>H207/F199</f>
        <v>19448.5</v>
      </c>
    </row>
    <row r="209" s="4" customFormat="1" ht="20.1" customHeight="1" spans="1:8">
      <c r="A209" s="42"/>
      <c r="B209" s="43"/>
      <c r="C209" s="43"/>
      <c r="D209" s="44" t="s">
        <v>581</v>
      </c>
      <c r="E209" s="45"/>
      <c r="F209" s="45"/>
      <c r="G209" s="46" t="s">
        <v>757</v>
      </c>
      <c r="H209" s="47">
        <f>ROUND(H208,0)</f>
        <v>19449</v>
      </c>
    </row>
    <row r="210" s="4" customFormat="1" ht="20.1" customHeight="1" spans="1:8">
      <c r="A210" s="42"/>
      <c r="B210" s="43"/>
      <c r="C210" s="43"/>
      <c r="D210" s="44" t="s">
        <v>581</v>
      </c>
      <c r="E210" s="45"/>
      <c r="F210" s="45"/>
      <c r="G210" s="46" t="s">
        <v>785</v>
      </c>
      <c r="H210" s="47">
        <f>H209/100</f>
        <v>194.49</v>
      </c>
    </row>
    <row r="211" s="4" customFormat="1" ht="20.1" customHeight="1" spans="1:8">
      <c r="A211" s="42"/>
      <c r="B211" s="43"/>
      <c r="C211" s="6"/>
      <c r="D211" s="44" t="s">
        <v>581</v>
      </c>
      <c r="E211" s="45"/>
      <c r="F211" s="45"/>
      <c r="G211" s="46" t="s">
        <v>758</v>
      </c>
      <c r="H211" s="47">
        <f>H210*10.76</f>
        <v>2092.7124</v>
      </c>
    </row>
    <row r="212" s="3" customFormat="1" ht="24" customHeight="1" spans="1:8">
      <c r="A212" s="42"/>
      <c r="B212" s="42"/>
      <c r="C212" s="42"/>
      <c r="D212" s="50"/>
      <c r="E212" s="51"/>
      <c r="F212" s="51"/>
      <c r="G212" s="52"/>
      <c r="H212" s="53"/>
    </row>
    <row r="213" s="5" customFormat="1" ht="27" customHeight="1" spans="1:8">
      <c r="A213" s="456" t="s">
        <v>871</v>
      </c>
      <c r="B213" s="74"/>
      <c r="C213" s="30" t="s">
        <v>872</v>
      </c>
      <c r="D213" s="30"/>
      <c r="E213" s="30"/>
      <c r="F213" s="30"/>
      <c r="G213" s="30"/>
      <c r="H213" s="30"/>
    </row>
    <row r="214" ht="17.25" customHeight="1" spans="1:8">
      <c r="A214" s="3"/>
      <c r="B214" s="3"/>
      <c r="C214" s="3"/>
      <c r="D214" s="31"/>
      <c r="E214" s="32" t="s">
        <v>570</v>
      </c>
      <c r="F214" s="31">
        <v>10</v>
      </c>
      <c r="G214" s="32" t="s">
        <v>308</v>
      </c>
      <c r="H214" s="33"/>
    </row>
    <row r="215" ht="20.45" customHeight="1" spans="2:8">
      <c r="B215" s="34" t="s">
        <v>194</v>
      </c>
      <c r="C215" s="34" t="s">
        <v>573</v>
      </c>
      <c r="D215" s="34" t="s">
        <v>574</v>
      </c>
      <c r="E215" s="34" t="s">
        <v>6</v>
      </c>
      <c r="F215" s="34" t="s">
        <v>575</v>
      </c>
      <c r="G215" s="34" t="s">
        <v>576</v>
      </c>
      <c r="H215" s="35" t="s">
        <v>577</v>
      </c>
    </row>
    <row r="216" ht="20.45" customHeight="1" spans="2:8">
      <c r="B216" s="34">
        <v>1.01</v>
      </c>
      <c r="C216" s="36" t="s">
        <v>68</v>
      </c>
      <c r="D216" s="34" t="s">
        <v>240</v>
      </c>
      <c r="E216" s="457" t="s">
        <v>194</v>
      </c>
      <c r="F216" s="34">
        <v>120</v>
      </c>
      <c r="G216" s="75">
        <f>'Basic Rates'!$E$22</f>
        <v>20</v>
      </c>
      <c r="H216" s="38">
        <f t="shared" ref="H216:H221" si="4">G216*F216</f>
        <v>2400</v>
      </c>
    </row>
    <row r="217" ht="20.45" customHeight="1" spans="2:8">
      <c r="B217" s="34">
        <f>B216+0.01</f>
        <v>1.02</v>
      </c>
      <c r="C217" s="36" t="s">
        <v>24</v>
      </c>
      <c r="D217" s="34" t="s">
        <v>253</v>
      </c>
      <c r="E217" s="457" t="s">
        <v>254</v>
      </c>
      <c r="F217" s="34">
        <v>0.5</v>
      </c>
      <c r="G217" s="75">
        <f>'Basic Rates'!$E$29</f>
        <v>2400</v>
      </c>
      <c r="H217" s="38">
        <f t="shared" si="4"/>
        <v>1200</v>
      </c>
    </row>
    <row r="218" ht="20.45" customHeight="1" spans="2:8">
      <c r="B218" s="34">
        <f>B217+0.01</f>
        <v>1.03</v>
      </c>
      <c r="C218" s="36" t="s">
        <v>28</v>
      </c>
      <c r="D218" s="34" t="s">
        <v>433</v>
      </c>
      <c r="E218" s="34" t="s">
        <v>638</v>
      </c>
      <c r="F218" s="34">
        <v>0.05</v>
      </c>
      <c r="G218" s="75">
        <f>'Basic Rates'!$E$116</f>
        <v>18000</v>
      </c>
      <c r="H218" s="38">
        <f t="shared" si="4"/>
        <v>900</v>
      </c>
    </row>
    <row r="219" ht="20.45" customHeight="1" spans="2:8">
      <c r="B219" s="34">
        <f>B218+0.01</f>
        <v>1.04</v>
      </c>
      <c r="C219" s="36" t="s">
        <v>36</v>
      </c>
      <c r="D219" s="34" t="s">
        <v>525</v>
      </c>
      <c r="E219" s="34" t="s">
        <v>173</v>
      </c>
      <c r="F219" s="34">
        <v>15</v>
      </c>
      <c r="G219" s="75">
        <f>'Basic Rates'!$E$161</f>
        <v>0.3</v>
      </c>
      <c r="H219" s="38">
        <f t="shared" si="4"/>
        <v>4.5</v>
      </c>
    </row>
    <row r="220" ht="20.45" customHeight="1" spans="2:8">
      <c r="B220" s="34">
        <f>B219+0.01</f>
        <v>1.05</v>
      </c>
      <c r="C220" s="36" t="s">
        <v>217</v>
      </c>
      <c r="D220" s="34" t="s">
        <v>218</v>
      </c>
      <c r="E220" s="457" t="s">
        <v>175</v>
      </c>
      <c r="F220" s="34">
        <v>0.5</v>
      </c>
      <c r="G220" s="75">
        <f>'Basic Rates'!$J$12</f>
        <v>3500</v>
      </c>
      <c r="H220" s="38">
        <f t="shared" si="4"/>
        <v>1750</v>
      </c>
    </row>
    <row r="221" ht="20.45" customHeight="1" spans="2:8">
      <c r="B221" s="34">
        <f>B220+0.01</f>
        <v>1.06</v>
      </c>
      <c r="C221" s="36" t="s">
        <v>208</v>
      </c>
      <c r="D221" s="34" t="s">
        <v>209</v>
      </c>
      <c r="E221" s="457" t="s">
        <v>175</v>
      </c>
      <c r="F221" s="34">
        <v>0.5</v>
      </c>
      <c r="G221" s="75">
        <f>'Basic Rates'!$J$10</f>
        <v>2300</v>
      </c>
      <c r="H221" s="38">
        <f t="shared" si="4"/>
        <v>1150</v>
      </c>
    </row>
    <row r="222" s="4" customFormat="1" ht="20.1" customHeight="1" spans="1:8">
      <c r="A222" s="6"/>
      <c r="B222" s="61"/>
      <c r="C222" s="61"/>
      <c r="D222" s="39" t="s">
        <v>579</v>
      </c>
      <c r="E222" s="40">
        <f>$F$214</f>
        <v>10</v>
      </c>
      <c r="F222" s="40" t="str">
        <f>$G$214</f>
        <v>L.ft</v>
      </c>
      <c r="G222" s="41"/>
      <c r="H222" s="38">
        <f>SUM(H216:H221)</f>
        <v>7404.5</v>
      </c>
    </row>
    <row r="223" s="4" customFormat="1" ht="20.1" customHeight="1" spans="1:8">
      <c r="A223" s="6"/>
      <c r="B223" s="61"/>
      <c r="C223" s="61"/>
      <c r="D223" s="39" t="s">
        <v>580</v>
      </c>
      <c r="E223" s="40" t="str">
        <f>$G$214</f>
        <v>L.ft</v>
      </c>
      <c r="F223" s="40"/>
      <c r="G223" s="41"/>
      <c r="H223" s="38">
        <f>H222/F214</f>
        <v>740.45</v>
      </c>
    </row>
    <row r="224" s="4" customFormat="1" ht="20.1" customHeight="1" spans="1:8">
      <c r="A224" s="42"/>
      <c r="B224" s="43"/>
      <c r="C224" s="43"/>
      <c r="D224" s="44" t="s">
        <v>581</v>
      </c>
      <c r="E224" s="45"/>
      <c r="F224" s="45"/>
      <c r="G224" s="46" t="s">
        <v>732</v>
      </c>
      <c r="H224" s="47">
        <f>H223</f>
        <v>740.45</v>
      </c>
    </row>
    <row r="225" s="4" customFormat="1" ht="20.1" customHeight="1" spans="1:8">
      <c r="A225" s="42"/>
      <c r="B225" s="43"/>
      <c r="C225" s="6"/>
      <c r="D225" s="44" t="s">
        <v>581</v>
      </c>
      <c r="E225" s="45"/>
      <c r="F225" s="45"/>
      <c r="G225" s="46" t="s">
        <v>873</v>
      </c>
      <c r="H225" s="47">
        <f>H224*3.28</f>
        <v>2428.676</v>
      </c>
    </row>
    <row r="226" s="3" customFormat="1" ht="24" customHeight="1" spans="1:8">
      <c r="A226" s="42"/>
      <c r="B226" s="42"/>
      <c r="C226" s="42"/>
      <c r="D226" s="50"/>
      <c r="E226" s="51"/>
      <c r="F226" s="51"/>
      <c r="G226" s="52"/>
      <c r="H226" s="53"/>
    </row>
    <row r="227" s="5" customFormat="1" ht="27" customHeight="1" spans="1:8">
      <c r="A227" s="456" t="s">
        <v>874</v>
      </c>
      <c r="B227" s="74"/>
      <c r="C227" s="30" t="s">
        <v>875</v>
      </c>
      <c r="D227" s="30"/>
      <c r="E227" s="30"/>
      <c r="F227" s="30"/>
      <c r="G227" s="30"/>
      <c r="H227" s="30"/>
    </row>
    <row r="228" ht="17.25" customHeight="1" spans="1:8">
      <c r="A228" s="3"/>
      <c r="B228" s="3"/>
      <c r="C228" s="3"/>
      <c r="D228" s="31"/>
      <c r="E228" s="32" t="s">
        <v>570</v>
      </c>
      <c r="F228" s="31">
        <v>10</v>
      </c>
      <c r="G228" s="32" t="s">
        <v>308</v>
      </c>
      <c r="H228" s="33"/>
    </row>
    <row r="229" ht="20.45" customHeight="1" spans="2:8">
      <c r="B229" s="34" t="s">
        <v>194</v>
      </c>
      <c r="C229" s="34" t="s">
        <v>573</v>
      </c>
      <c r="D229" s="34" t="s">
        <v>574</v>
      </c>
      <c r="E229" s="34" t="s">
        <v>6</v>
      </c>
      <c r="F229" s="34" t="s">
        <v>575</v>
      </c>
      <c r="G229" s="34" t="s">
        <v>576</v>
      </c>
      <c r="H229" s="35" t="s">
        <v>577</v>
      </c>
    </row>
    <row r="230" ht="20.45" customHeight="1" spans="2:8">
      <c r="B230" s="34">
        <v>1.01</v>
      </c>
      <c r="C230" s="36" t="s">
        <v>68</v>
      </c>
      <c r="D230" s="34" t="s">
        <v>240</v>
      </c>
      <c r="E230" s="457" t="s">
        <v>194</v>
      </c>
      <c r="F230" s="34">
        <v>140</v>
      </c>
      <c r="G230" s="75">
        <f>'Basic Rates'!$E$22</f>
        <v>20</v>
      </c>
      <c r="H230" s="38">
        <f t="shared" ref="H230:H235" si="5">G230*F230</f>
        <v>2800</v>
      </c>
    </row>
    <row r="231" ht="20.45" customHeight="1" spans="2:8">
      <c r="B231" s="34">
        <f>B230+0.01</f>
        <v>1.02</v>
      </c>
      <c r="C231" s="36" t="s">
        <v>24</v>
      </c>
      <c r="D231" s="34" t="s">
        <v>253</v>
      </c>
      <c r="E231" s="457" t="s">
        <v>254</v>
      </c>
      <c r="F231" s="34">
        <v>0.8</v>
      </c>
      <c r="G231" s="75">
        <f>'Basic Rates'!$E$29</f>
        <v>2400</v>
      </c>
      <c r="H231" s="38">
        <f t="shared" si="5"/>
        <v>1920</v>
      </c>
    </row>
    <row r="232" ht="20.45" customHeight="1" spans="2:8">
      <c r="B232" s="34">
        <f>B231+0.01</f>
        <v>1.03</v>
      </c>
      <c r="C232" s="36" t="s">
        <v>28</v>
      </c>
      <c r="D232" s="34" t="s">
        <v>433</v>
      </c>
      <c r="E232" s="34" t="s">
        <v>638</v>
      </c>
      <c r="F232" s="34">
        <v>0.05</v>
      </c>
      <c r="G232" s="75">
        <f>'Basic Rates'!$E$116</f>
        <v>18000</v>
      </c>
      <c r="H232" s="38">
        <f t="shared" si="5"/>
        <v>900</v>
      </c>
    </row>
    <row r="233" ht="20.45" customHeight="1" spans="2:8">
      <c r="B233" s="34">
        <f>B232+0.01</f>
        <v>1.04</v>
      </c>
      <c r="C233" s="36" t="s">
        <v>36</v>
      </c>
      <c r="D233" s="34" t="s">
        <v>525</v>
      </c>
      <c r="E233" s="34" t="s">
        <v>173</v>
      </c>
      <c r="F233" s="34">
        <v>20</v>
      </c>
      <c r="G233" s="75">
        <f>'Basic Rates'!$E$161</f>
        <v>0.3</v>
      </c>
      <c r="H233" s="38">
        <f t="shared" si="5"/>
        <v>6</v>
      </c>
    </row>
    <row r="234" ht="20.45" customHeight="1" spans="2:8">
      <c r="B234" s="34">
        <f>B233+0.01</f>
        <v>1.05</v>
      </c>
      <c r="C234" s="36" t="s">
        <v>217</v>
      </c>
      <c r="D234" s="34" t="s">
        <v>218</v>
      </c>
      <c r="E234" s="457" t="s">
        <v>175</v>
      </c>
      <c r="F234" s="34">
        <v>1.25</v>
      </c>
      <c r="G234" s="75">
        <f>'Basic Rates'!$J$12</f>
        <v>3500</v>
      </c>
      <c r="H234" s="38">
        <f t="shared" si="5"/>
        <v>4375</v>
      </c>
    </row>
    <row r="235" ht="20.45" customHeight="1" spans="2:8">
      <c r="B235" s="34">
        <f>B234+0.01</f>
        <v>1.06</v>
      </c>
      <c r="C235" s="36" t="s">
        <v>208</v>
      </c>
      <c r="D235" s="34" t="s">
        <v>209</v>
      </c>
      <c r="E235" s="457" t="s">
        <v>175</v>
      </c>
      <c r="F235" s="34">
        <v>1.25</v>
      </c>
      <c r="G235" s="75">
        <f>'Basic Rates'!$J$10</f>
        <v>2300</v>
      </c>
      <c r="H235" s="38">
        <f t="shared" si="5"/>
        <v>2875</v>
      </c>
    </row>
    <row r="236" s="4" customFormat="1" ht="20.1" customHeight="1" spans="1:8">
      <c r="A236" s="6"/>
      <c r="B236" s="61"/>
      <c r="C236" s="61"/>
      <c r="D236" s="39" t="s">
        <v>579</v>
      </c>
      <c r="E236" s="40">
        <f>$F$228</f>
        <v>10</v>
      </c>
      <c r="F236" s="40" t="str">
        <f>$G$228</f>
        <v>L.ft</v>
      </c>
      <c r="G236" s="41"/>
      <c r="H236" s="38">
        <f>SUM(H230:H235)</f>
        <v>12876</v>
      </c>
    </row>
    <row r="237" s="4" customFormat="1" ht="20.1" customHeight="1" spans="1:8">
      <c r="A237" s="6"/>
      <c r="B237" s="61"/>
      <c r="C237" s="61"/>
      <c r="D237" s="39" t="s">
        <v>580</v>
      </c>
      <c r="E237" s="40" t="str">
        <f>$G$228</f>
        <v>L.ft</v>
      </c>
      <c r="F237" s="40"/>
      <c r="G237" s="41"/>
      <c r="H237" s="38">
        <f>H236/F228</f>
        <v>1287.6</v>
      </c>
    </row>
    <row r="238" s="4" customFormat="1" ht="20.1" customHeight="1" spans="1:8">
      <c r="A238" s="42"/>
      <c r="B238" s="43"/>
      <c r="C238" s="43"/>
      <c r="D238" s="44" t="s">
        <v>581</v>
      </c>
      <c r="E238" s="45"/>
      <c r="F238" s="45"/>
      <c r="G238" s="46" t="s">
        <v>732</v>
      </c>
      <c r="H238" s="47">
        <f>H237</f>
        <v>1287.6</v>
      </c>
    </row>
    <row r="239" s="4" customFormat="1" ht="20.1" customHeight="1" spans="1:8">
      <c r="A239" s="42"/>
      <c r="B239" s="43"/>
      <c r="C239" s="6"/>
      <c r="D239" s="44" t="s">
        <v>581</v>
      </c>
      <c r="E239" s="45"/>
      <c r="F239" s="45"/>
      <c r="G239" s="46" t="s">
        <v>873</v>
      </c>
      <c r="H239" s="47">
        <f>H238*3.28</f>
        <v>4223.328</v>
      </c>
    </row>
    <row r="240" s="3" customFormat="1" ht="24" customHeight="1" spans="1:8">
      <c r="A240" s="42"/>
      <c r="B240" s="42"/>
      <c r="C240" s="42"/>
      <c r="D240" s="50"/>
      <c r="E240" s="51"/>
      <c r="F240" s="51"/>
      <c r="G240" s="52"/>
      <c r="H240" s="53"/>
    </row>
    <row r="241" s="5" customFormat="1" ht="31.5" customHeight="1" spans="1:8">
      <c r="A241" s="456" t="s">
        <v>876</v>
      </c>
      <c r="B241" s="74"/>
      <c r="C241" s="30" t="s">
        <v>877</v>
      </c>
      <c r="D241" s="30"/>
      <c r="E241" s="30"/>
      <c r="F241" s="30"/>
      <c r="G241" s="30"/>
      <c r="H241" s="30"/>
    </row>
    <row r="242" ht="17.25" customHeight="1" spans="1:8">
      <c r="A242" s="3"/>
      <c r="B242" s="3"/>
      <c r="C242" s="3"/>
      <c r="D242" s="31"/>
      <c r="E242" s="32" t="s">
        <v>570</v>
      </c>
      <c r="F242" s="31">
        <v>10</v>
      </c>
      <c r="G242" s="32" t="s">
        <v>308</v>
      </c>
      <c r="H242" s="33"/>
    </row>
    <row r="243" ht="20.45" customHeight="1" spans="2:8">
      <c r="B243" s="34" t="s">
        <v>194</v>
      </c>
      <c r="C243" s="34" t="s">
        <v>573</v>
      </c>
      <c r="D243" s="34" t="s">
        <v>574</v>
      </c>
      <c r="E243" s="34" t="s">
        <v>6</v>
      </c>
      <c r="F243" s="34" t="s">
        <v>575</v>
      </c>
      <c r="G243" s="34" t="s">
        <v>576</v>
      </c>
      <c r="H243" s="35" t="s">
        <v>577</v>
      </c>
    </row>
    <row r="244" ht="20.45" customHeight="1" spans="2:8">
      <c r="B244" s="34">
        <v>1.01</v>
      </c>
      <c r="C244" s="36" t="s">
        <v>68</v>
      </c>
      <c r="D244" s="34" t="s">
        <v>240</v>
      </c>
      <c r="E244" s="457" t="s">
        <v>194</v>
      </c>
      <c r="F244" s="34">
        <v>110</v>
      </c>
      <c r="G244" s="75">
        <f>'Basic Rates'!$E$22</f>
        <v>20</v>
      </c>
      <c r="H244" s="38">
        <f t="shared" ref="H244:H249" si="6">G244*F244</f>
        <v>2200</v>
      </c>
    </row>
    <row r="245" ht="20.45" customHeight="1" spans="2:8">
      <c r="B245" s="34">
        <f>B244+0.01</f>
        <v>1.02</v>
      </c>
      <c r="C245" s="36" t="s">
        <v>24</v>
      </c>
      <c r="D245" s="34" t="s">
        <v>253</v>
      </c>
      <c r="E245" s="457" t="s">
        <v>254</v>
      </c>
      <c r="F245" s="34">
        <v>0.7</v>
      </c>
      <c r="G245" s="75">
        <f>'Basic Rates'!$E$29</f>
        <v>2400</v>
      </c>
      <c r="H245" s="38">
        <f t="shared" si="6"/>
        <v>1680</v>
      </c>
    </row>
    <row r="246" ht="20.45" customHeight="1" spans="2:8">
      <c r="B246" s="34">
        <f>B245+0.01</f>
        <v>1.03</v>
      </c>
      <c r="C246" s="36" t="s">
        <v>28</v>
      </c>
      <c r="D246" s="34" t="s">
        <v>433</v>
      </c>
      <c r="E246" s="34" t="s">
        <v>638</v>
      </c>
      <c r="F246" s="34">
        <v>0.04</v>
      </c>
      <c r="G246" s="75">
        <f>'Basic Rates'!$E$116</f>
        <v>18000</v>
      </c>
      <c r="H246" s="38">
        <f t="shared" si="6"/>
        <v>720</v>
      </c>
    </row>
    <row r="247" ht="20.45" customHeight="1" spans="2:8">
      <c r="B247" s="34">
        <f>B246+0.01</f>
        <v>1.04</v>
      </c>
      <c r="C247" s="36" t="s">
        <v>36</v>
      </c>
      <c r="D247" s="34" t="s">
        <v>525</v>
      </c>
      <c r="E247" s="34" t="s">
        <v>173</v>
      </c>
      <c r="F247" s="34">
        <v>15</v>
      </c>
      <c r="G247" s="75">
        <f>'Basic Rates'!$E$161</f>
        <v>0.3</v>
      </c>
      <c r="H247" s="38">
        <f t="shared" si="6"/>
        <v>4.5</v>
      </c>
    </row>
    <row r="248" ht="20.45" customHeight="1" spans="2:8">
      <c r="B248" s="34">
        <f>B247+0.01</f>
        <v>1.05</v>
      </c>
      <c r="C248" s="36" t="s">
        <v>217</v>
      </c>
      <c r="D248" s="34" t="s">
        <v>218</v>
      </c>
      <c r="E248" s="457" t="s">
        <v>175</v>
      </c>
      <c r="F248" s="34">
        <v>1</v>
      </c>
      <c r="G248" s="75">
        <f>'Basic Rates'!$J$12</f>
        <v>3500</v>
      </c>
      <c r="H248" s="38">
        <f t="shared" si="6"/>
        <v>3500</v>
      </c>
    </row>
    <row r="249" ht="20.45" customHeight="1" spans="2:8">
      <c r="B249" s="34">
        <f>B248+0.01</f>
        <v>1.06</v>
      </c>
      <c r="C249" s="36" t="s">
        <v>208</v>
      </c>
      <c r="D249" s="34" t="s">
        <v>209</v>
      </c>
      <c r="E249" s="457" t="s">
        <v>175</v>
      </c>
      <c r="F249" s="34">
        <v>1.25</v>
      </c>
      <c r="G249" s="75">
        <f>'Basic Rates'!$J$10</f>
        <v>2300</v>
      </c>
      <c r="H249" s="38">
        <f t="shared" si="6"/>
        <v>2875</v>
      </c>
    </row>
    <row r="250" s="4" customFormat="1" ht="20.1" customHeight="1" spans="1:8">
      <c r="A250" s="6"/>
      <c r="B250" s="61"/>
      <c r="C250" s="61"/>
      <c r="D250" s="39" t="s">
        <v>579</v>
      </c>
      <c r="E250" s="40">
        <f>$F$242</f>
        <v>10</v>
      </c>
      <c r="F250" s="40" t="str">
        <f>$G$242</f>
        <v>L.ft</v>
      </c>
      <c r="G250" s="41"/>
      <c r="H250" s="38">
        <f>SUM(H244:H249)</f>
        <v>10979.5</v>
      </c>
    </row>
    <row r="251" ht="20.1" customHeight="1" spans="2:8">
      <c r="B251" s="61"/>
      <c r="C251" s="61"/>
      <c r="D251" s="39" t="s">
        <v>580</v>
      </c>
      <c r="E251" s="40" t="str">
        <f>$G$242</f>
        <v>L.ft</v>
      </c>
      <c r="F251" s="40"/>
      <c r="G251" s="41"/>
      <c r="H251" s="38">
        <f>H250/F242</f>
        <v>1097.95</v>
      </c>
    </row>
    <row r="252" s="4" customFormat="1" ht="20.1" customHeight="1" spans="1:8">
      <c r="A252" s="42"/>
      <c r="B252" s="43"/>
      <c r="C252" s="43"/>
      <c r="D252" s="44" t="s">
        <v>581</v>
      </c>
      <c r="E252" s="45"/>
      <c r="F252" s="45"/>
      <c r="G252" s="46" t="s">
        <v>732</v>
      </c>
      <c r="H252" s="47">
        <f>H251</f>
        <v>1097.95</v>
      </c>
    </row>
    <row r="253" s="4" customFormat="1" ht="20.1" customHeight="1" spans="1:8">
      <c r="A253" s="42"/>
      <c r="B253" s="43"/>
      <c r="C253" s="6"/>
      <c r="D253" s="44" t="s">
        <v>581</v>
      </c>
      <c r="E253" s="45"/>
      <c r="F253" s="45"/>
      <c r="G253" s="46" t="s">
        <v>873</v>
      </c>
      <c r="H253" s="47">
        <f>H252*3.28</f>
        <v>3601.276</v>
      </c>
    </row>
  </sheetData>
  <mergeCells count="29">
    <mergeCell ref="A2:H2"/>
    <mergeCell ref="A4:B4"/>
    <mergeCell ref="C4:H4"/>
    <mergeCell ref="A25:B25"/>
    <mergeCell ref="C25:H25"/>
    <mergeCell ref="A46:B46"/>
    <mergeCell ref="C46:H46"/>
    <mergeCell ref="A62:B62"/>
    <mergeCell ref="C62:H62"/>
    <mergeCell ref="A78:B78"/>
    <mergeCell ref="C78:H78"/>
    <mergeCell ref="A99:B99"/>
    <mergeCell ref="C99:H99"/>
    <mergeCell ref="A120:B120"/>
    <mergeCell ref="C120:H120"/>
    <mergeCell ref="A141:B141"/>
    <mergeCell ref="C141:H141"/>
    <mergeCell ref="A162:B162"/>
    <mergeCell ref="C162:H162"/>
    <mergeCell ref="A183:B183"/>
    <mergeCell ref="C183:H183"/>
    <mergeCell ref="A198:B198"/>
    <mergeCell ref="C198:H198"/>
    <mergeCell ref="A213:B213"/>
    <mergeCell ref="C213:H213"/>
    <mergeCell ref="A227:B227"/>
    <mergeCell ref="C227:H227"/>
    <mergeCell ref="A241:B241"/>
    <mergeCell ref="C241:H241"/>
  </mergeCell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indexed="50"/>
  </sheetPr>
  <dimension ref="A1:K252"/>
  <sheetViews>
    <sheetView topLeftCell="A200" workbookViewId="0">
      <selection activeCell="G155" sqref="G155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16384" width="9.14285714285714" style="6"/>
  </cols>
  <sheetData>
    <row r="1" s="4" customFormat="1" ht="9.75" customHeight="1" spans="1:8">
      <c r="A1" s="42"/>
      <c r="B1" s="42"/>
      <c r="C1" s="42"/>
      <c r="D1" s="50"/>
      <c r="E1" s="51"/>
      <c r="F1" s="51"/>
      <c r="G1" s="52"/>
      <c r="H1" s="53"/>
    </row>
    <row r="2" ht="20.1" customHeight="1" spans="1:9">
      <c r="A2" s="173" t="s">
        <v>878</v>
      </c>
      <c r="B2" s="173"/>
      <c r="C2" s="173"/>
      <c r="D2" s="173"/>
      <c r="E2" s="173"/>
      <c r="F2" s="173"/>
      <c r="G2" s="173"/>
      <c r="H2" s="173"/>
      <c r="I2" s="54"/>
    </row>
    <row r="3" ht="17.25" customHeight="1"/>
    <row r="4" ht="17.25" customHeight="1" spans="2:3">
      <c r="B4" s="174" t="s">
        <v>564</v>
      </c>
      <c r="C4" s="175" t="s">
        <v>879</v>
      </c>
    </row>
    <row r="5" ht="17.25" customHeight="1" spans="2:3">
      <c r="B5" s="174" t="s">
        <v>566</v>
      </c>
      <c r="C5" s="175" t="s">
        <v>880</v>
      </c>
    </row>
    <row r="6" ht="17.25" customHeight="1"/>
    <row r="7" s="1" customFormat="1" ht="20.25" customHeight="1" spans="1:9">
      <c r="A7" s="59" t="s">
        <v>881</v>
      </c>
      <c r="B7" s="22"/>
      <c r="C7" s="22"/>
      <c r="D7" s="22"/>
      <c r="E7" s="22"/>
      <c r="F7" s="22"/>
      <c r="G7" s="22"/>
      <c r="H7" s="60"/>
      <c r="I7" s="56"/>
    </row>
    <row r="8" ht="9.75" customHeight="1"/>
    <row r="9" s="2" customFormat="1" ht="30" customHeight="1" spans="1:9">
      <c r="A9" s="29" t="s">
        <v>882</v>
      </c>
      <c r="B9" s="29"/>
      <c r="C9" s="30" t="s">
        <v>883</v>
      </c>
      <c r="D9" s="30"/>
      <c r="E9" s="30"/>
      <c r="F9" s="30"/>
      <c r="G9" s="30"/>
      <c r="H9" s="30"/>
      <c r="I9" s="57"/>
    </row>
    <row r="10" s="3" customFormat="1" ht="18" customHeight="1" spans="4:8">
      <c r="D10" s="31"/>
      <c r="E10" s="32" t="s">
        <v>570</v>
      </c>
      <c r="F10" s="31">
        <v>6</v>
      </c>
      <c r="G10" s="32" t="s">
        <v>592</v>
      </c>
      <c r="H10" s="33"/>
    </row>
    <row r="11" ht="17.25" customHeight="1" spans="2:8">
      <c r="B11" s="34" t="s">
        <v>194</v>
      </c>
      <c r="C11" s="34" t="s">
        <v>573</v>
      </c>
      <c r="D11" s="34" t="s">
        <v>574</v>
      </c>
      <c r="E11" s="34" t="s">
        <v>6</v>
      </c>
      <c r="F11" s="34" t="s">
        <v>575</v>
      </c>
      <c r="G11" s="34" t="s">
        <v>576</v>
      </c>
      <c r="H11" s="35" t="s">
        <v>577</v>
      </c>
    </row>
    <row r="12" ht="20.45" customHeight="1" spans="2:8">
      <c r="B12" s="34">
        <v>1.00999999046326</v>
      </c>
      <c r="C12" s="36" t="s">
        <v>479</v>
      </c>
      <c r="D12" s="34" t="s">
        <v>480</v>
      </c>
      <c r="E12" s="457" t="s">
        <v>481</v>
      </c>
      <c r="F12" s="34">
        <v>34</v>
      </c>
      <c r="G12" s="75">
        <f>'Basic Rates'!$E$139</f>
        <v>1200</v>
      </c>
      <c r="H12" s="38">
        <f>G12*F12</f>
        <v>40800</v>
      </c>
    </row>
    <row r="13" ht="20.45" customHeight="1" spans="2:8">
      <c r="B13" s="34">
        <v>1.01999998092651</v>
      </c>
      <c r="C13" s="36" t="s">
        <v>884</v>
      </c>
      <c r="D13" s="457" t="s">
        <v>676</v>
      </c>
      <c r="E13" s="457" t="s">
        <v>676</v>
      </c>
      <c r="F13" s="457" t="s">
        <v>676</v>
      </c>
      <c r="G13" s="457" t="s">
        <v>676</v>
      </c>
      <c r="H13" s="38">
        <f>(H12)*10/100</f>
        <v>4080</v>
      </c>
    </row>
    <row r="14" ht="20.45" customHeight="1" spans="2:8">
      <c r="B14" s="34">
        <v>1.02999997138977</v>
      </c>
      <c r="C14" s="36" t="s">
        <v>885</v>
      </c>
      <c r="D14" s="34" t="s">
        <v>510</v>
      </c>
      <c r="E14" s="34" t="s">
        <v>308</v>
      </c>
      <c r="F14" s="34">
        <v>660</v>
      </c>
      <c r="G14" s="75">
        <f>'Basic Rates'!$E$153</f>
        <v>12</v>
      </c>
      <c r="H14" s="38">
        <f>G14*F14</f>
        <v>7920</v>
      </c>
    </row>
    <row r="15" ht="20.45" customHeight="1" spans="2:8">
      <c r="B15" s="34">
        <v>1.03999996185303</v>
      </c>
      <c r="C15" s="36" t="s">
        <v>886</v>
      </c>
      <c r="D15" s="457" t="s">
        <v>676</v>
      </c>
      <c r="E15" s="457" t="s">
        <v>676</v>
      </c>
      <c r="F15" s="457" t="s">
        <v>676</v>
      </c>
      <c r="G15" s="457" t="s">
        <v>676</v>
      </c>
      <c r="H15" s="38">
        <f>(H14)*5/100</f>
        <v>396</v>
      </c>
    </row>
    <row r="16" ht="20.45" customHeight="1" spans="2:8">
      <c r="B16" s="34">
        <v>1.04999995231628</v>
      </c>
      <c r="C16" s="36" t="s">
        <v>536</v>
      </c>
      <c r="D16" s="34" t="s">
        <v>537</v>
      </c>
      <c r="E16" s="457" t="s">
        <v>199</v>
      </c>
      <c r="F16" s="34">
        <v>8</v>
      </c>
      <c r="G16" s="75">
        <f>'Basic Rates'!E167</f>
        <v>25</v>
      </c>
      <c r="H16" s="38">
        <f>G16*F16</f>
        <v>200</v>
      </c>
    </row>
    <row r="17" ht="20.45" customHeight="1" spans="2:8">
      <c r="B17" s="34">
        <v>1.05999994277954</v>
      </c>
      <c r="C17" s="36" t="s">
        <v>534</v>
      </c>
      <c r="D17" s="34" t="s">
        <v>535</v>
      </c>
      <c r="E17" s="34" t="s">
        <v>199</v>
      </c>
      <c r="F17" s="34">
        <v>2</v>
      </c>
      <c r="G17" s="75">
        <f>'Basic Rates'!E166</f>
        <v>25</v>
      </c>
      <c r="H17" s="38">
        <f>G17*F17</f>
        <v>50</v>
      </c>
    </row>
    <row r="18" ht="20.45" customHeight="1" spans="2:8">
      <c r="B18" s="34">
        <v>1.07000005245209</v>
      </c>
      <c r="C18" s="36" t="s">
        <v>76</v>
      </c>
      <c r="D18" s="34" t="s">
        <v>213</v>
      </c>
      <c r="E18" s="457" t="s">
        <v>175</v>
      </c>
      <c r="F18" s="34">
        <v>7</v>
      </c>
      <c r="G18" s="75">
        <f>'Basic Rates'!$J$11</f>
        <v>3500</v>
      </c>
      <c r="H18" s="38">
        <f>G18*F18</f>
        <v>24500</v>
      </c>
    </row>
    <row r="19" ht="20.45" customHeight="1" spans="2:8">
      <c r="B19" s="34">
        <v>1.08000004291534</v>
      </c>
      <c r="C19" s="36" t="s">
        <v>208</v>
      </c>
      <c r="D19" s="34" t="s">
        <v>209</v>
      </c>
      <c r="E19" s="457" t="s">
        <v>175</v>
      </c>
      <c r="F19" s="34">
        <v>8</v>
      </c>
      <c r="G19" s="75">
        <f>'Basic Rates'!$J$10</f>
        <v>2300</v>
      </c>
      <c r="H19" s="38">
        <f>G19*F19</f>
        <v>18400</v>
      </c>
    </row>
    <row r="20" ht="20.45" customHeight="1" spans="2:8">
      <c r="B20" s="61"/>
      <c r="C20" s="61"/>
      <c r="D20" s="39" t="s">
        <v>579</v>
      </c>
      <c r="E20" s="40">
        <f>$F$10</f>
        <v>6</v>
      </c>
      <c r="F20" s="40" t="str">
        <f>$G$10</f>
        <v>Sqrs</v>
      </c>
      <c r="G20" s="41"/>
      <c r="H20" s="38">
        <f>SUM(H12:H19)</f>
        <v>96346</v>
      </c>
    </row>
    <row r="21" ht="20.45" customHeight="1" spans="2:8">
      <c r="B21" s="61"/>
      <c r="C21" s="61"/>
      <c r="D21" s="39" t="s">
        <v>580</v>
      </c>
      <c r="E21" s="40" t="str">
        <f>$G$10</f>
        <v>Sqrs</v>
      </c>
      <c r="F21" s="40"/>
      <c r="G21" s="41"/>
      <c r="H21" s="38">
        <f>H20/F10</f>
        <v>16057.6666666667</v>
      </c>
    </row>
    <row r="22" s="4" customFormat="1" ht="15" customHeight="1" spans="1:11">
      <c r="A22" s="42"/>
      <c r="B22" s="43"/>
      <c r="C22" s="43"/>
      <c r="D22" s="44" t="s">
        <v>581</v>
      </c>
      <c r="E22" s="45"/>
      <c r="F22" s="45"/>
      <c r="G22" s="78"/>
      <c r="H22" s="79">
        <f>ROUND(H21,0)</f>
        <v>16058</v>
      </c>
      <c r="K22" s="58"/>
    </row>
    <row r="23" s="4" customFormat="1" ht="30.6" customHeight="1" spans="1:8">
      <c r="A23" s="42"/>
      <c r="B23" s="42"/>
      <c r="C23" s="42"/>
      <c r="D23" s="50"/>
      <c r="E23" s="51"/>
      <c r="F23" s="51"/>
      <c r="G23" s="52"/>
      <c r="H23" s="53"/>
    </row>
    <row r="24" s="2" customFormat="1" ht="30" customHeight="1" spans="1:9">
      <c r="A24" s="29" t="s">
        <v>887</v>
      </c>
      <c r="B24" s="29"/>
      <c r="C24" s="30" t="s">
        <v>888</v>
      </c>
      <c r="D24" s="30"/>
      <c r="E24" s="30"/>
      <c r="F24" s="30"/>
      <c r="G24" s="30"/>
      <c r="H24" s="30"/>
      <c r="I24" s="57"/>
    </row>
    <row r="25" s="3" customFormat="1" ht="18" customHeight="1" spans="4:8">
      <c r="D25" s="31"/>
      <c r="E25" s="32" t="s">
        <v>570</v>
      </c>
      <c r="F25" s="31">
        <v>6</v>
      </c>
      <c r="G25" s="32" t="s">
        <v>592</v>
      </c>
      <c r="H25" s="33"/>
    </row>
    <row r="26" ht="15" customHeight="1" spans="2:8">
      <c r="B26" s="34" t="s">
        <v>194</v>
      </c>
      <c r="C26" s="34" t="s">
        <v>573</v>
      </c>
      <c r="D26" s="34" t="s">
        <v>574</v>
      </c>
      <c r="E26" s="34" t="s">
        <v>6</v>
      </c>
      <c r="F26" s="34" t="s">
        <v>575</v>
      </c>
      <c r="G26" s="34" t="s">
        <v>576</v>
      </c>
      <c r="H26" s="35" t="s">
        <v>577</v>
      </c>
    </row>
    <row r="27" ht="20.45" customHeight="1" spans="2:8">
      <c r="B27" s="34">
        <v>1.00999999046326</v>
      </c>
      <c r="C27" s="36" t="s">
        <v>889</v>
      </c>
      <c r="D27" s="34" t="s">
        <v>424</v>
      </c>
      <c r="E27" s="457" t="s">
        <v>194</v>
      </c>
      <c r="F27" s="34">
        <v>750</v>
      </c>
      <c r="G27" s="75">
        <f>'Basic Rates'!E111</f>
        <v>16</v>
      </c>
      <c r="H27" s="38">
        <f>G27*F27</f>
        <v>12000</v>
      </c>
    </row>
    <row r="28" ht="20.45" customHeight="1" spans="2:8">
      <c r="B28" s="34">
        <f>B27+0.01</f>
        <v>1.01999999046326</v>
      </c>
      <c r="C28" s="36" t="s">
        <v>76</v>
      </c>
      <c r="D28" s="34" t="s">
        <v>213</v>
      </c>
      <c r="E28" s="457" t="s">
        <v>175</v>
      </c>
      <c r="F28" s="34">
        <v>3</v>
      </c>
      <c r="G28" s="75">
        <f>'Basic Rates'!$J$11</f>
        <v>3500</v>
      </c>
      <c r="H28" s="38">
        <f>G28*F28</f>
        <v>10500</v>
      </c>
    </row>
    <row r="29" ht="20.45" customHeight="1" spans="2:8">
      <c r="B29" s="34">
        <f>B28+0.01</f>
        <v>1.02999999046326</v>
      </c>
      <c r="C29" s="36" t="s">
        <v>208</v>
      </c>
      <c r="D29" s="34" t="s">
        <v>209</v>
      </c>
      <c r="E29" s="34" t="s">
        <v>175</v>
      </c>
      <c r="F29" s="34">
        <v>3</v>
      </c>
      <c r="G29" s="75">
        <f>'Basic Rates'!$J$10</f>
        <v>2300</v>
      </c>
      <c r="H29" s="38">
        <f>G29*F29</f>
        <v>6900</v>
      </c>
    </row>
    <row r="30" ht="20.45" customHeight="1" spans="2:8">
      <c r="B30" s="61"/>
      <c r="C30" s="61"/>
      <c r="D30" s="39" t="s">
        <v>579</v>
      </c>
      <c r="E30" s="40">
        <f>$F$25</f>
        <v>6</v>
      </c>
      <c r="F30" s="40" t="str">
        <f>$G$25</f>
        <v>Sqrs</v>
      </c>
      <c r="G30" s="41"/>
      <c r="H30" s="38">
        <f>SUM(H27:H29)</f>
        <v>29400</v>
      </c>
    </row>
    <row r="31" ht="20.45" customHeight="1" spans="2:8">
      <c r="B31" s="61"/>
      <c r="C31" s="61"/>
      <c r="D31" s="39" t="s">
        <v>580</v>
      </c>
      <c r="E31" s="40" t="str">
        <f>$G$25</f>
        <v>Sqrs</v>
      </c>
      <c r="F31" s="40"/>
      <c r="G31" s="41"/>
      <c r="H31" s="38">
        <f>H30/F25</f>
        <v>4900</v>
      </c>
    </row>
    <row r="32" s="4" customFormat="1" ht="15" customHeight="1" spans="1:11">
      <c r="A32" s="42"/>
      <c r="B32" s="43"/>
      <c r="C32" s="43"/>
      <c r="D32" s="44" t="s">
        <v>581</v>
      </c>
      <c r="E32" s="45"/>
      <c r="F32" s="45"/>
      <c r="G32" s="78"/>
      <c r="H32" s="79">
        <f>ROUND(H31,0)</f>
        <v>4900</v>
      </c>
      <c r="K32" s="58"/>
    </row>
    <row r="33" s="4" customFormat="1" ht="30.6" customHeight="1" spans="1:8">
      <c r="A33" s="42"/>
      <c r="B33" s="42"/>
      <c r="C33" s="42"/>
      <c r="D33" s="50"/>
      <c r="E33" s="51"/>
      <c r="F33" s="51"/>
      <c r="G33" s="52"/>
      <c r="H33" s="53"/>
    </row>
    <row r="34" s="2" customFormat="1" ht="30" customHeight="1" spans="1:9">
      <c r="A34" s="29" t="s">
        <v>890</v>
      </c>
      <c r="B34" s="29"/>
      <c r="C34" s="30" t="s">
        <v>891</v>
      </c>
      <c r="D34" s="30"/>
      <c r="E34" s="30"/>
      <c r="F34" s="30"/>
      <c r="G34" s="30"/>
      <c r="H34" s="30"/>
      <c r="I34" s="57"/>
    </row>
    <row r="35" s="3" customFormat="1" ht="18" customHeight="1" spans="4:8">
      <c r="D35" s="31"/>
      <c r="E35" s="32" t="s">
        <v>570</v>
      </c>
      <c r="F35" s="31">
        <v>3.6</v>
      </c>
      <c r="G35" s="32" t="s">
        <v>592</v>
      </c>
      <c r="H35" s="33"/>
    </row>
    <row r="36" ht="15" customHeight="1" spans="2:8">
      <c r="B36" s="34" t="s">
        <v>194</v>
      </c>
      <c r="C36" s="34" t="s">
        <v>573</v>
      </c>
      <c r="D36" s="34" t="s">
        <v>574</v>
      </c>
      <c r="E36" s="34" t="s">
        <v>6</v>
      </c>
      <c r="F36" s="34" t="s">
        <v>575</v>
      </c>
      <c r="G36" s="34" t="s">
        <v>576</v>
      </c>
      <c r="H36" s="35" t="s">
        <v>577</v>
      </c>
    </row>
    <row r="37" ht="20.45" customHeight="1" spans="2:8">
      <c r="B37" s="34">
        <v>1.00999999046326</v>
      </c>
      <c r="C37" s="36" t="s">
        <v>479</v>
      </c>
      <c r="D37" s="34" t="s">
        <v>480</v>
      </c>
      <c r="E37" s="457" t="s">
        <v>481</v>
      </c>
      <c r="F37" s="34">
        <v>13.25</v>
      </c>
      <c r="G37" s="75">
        <f>'Basic Rates'!$E$139</f>
        <v>1200</v>
      </c>
      <c r="H37" s="38">
        <f>G37*F37</f>
        <v>15900</v>
      </c>
    </row>
    <row r="38" ht="20.45" customHeight="1" spans="2:8">
      <c r="B38" s="34">
        <v>1.01999998092651</v>
      </c>
      <c r="C38" s="36" t="s">
        <v>884</v>
      </c>
      <c r="D38" s="457" t="s">
        <v>676</v>
      </c>
      <c r="E38" s="457" t="s">
        <v>676</v>
      </c>
      <c r="F38" s="457" t="s">
        <v>676</v>
      </c>
      <c r="G38" s="457" t="s">
        <v>676</v>
      </c>
      <c r="H38" s="38">
        <f>H37*10/100</f>
        <v>1590</v>
      </c>
    </row>
    <row r="39" ht="20.45" customHeight="1" spans="2:8">
      <c r="B39" s="34">
        <v>1.02999997138977</v>
      </c>
      <c r="C39" s="36" t="s">
        <v>76</v>
      </c>
      <c r="D39" s="34" t="s">
        <v>213</v>
      </c>
      <c r="E39" s="34" t="s">
        <v>175</v>
      </c>
      <c r="F39" s="34">
        <v>2.5</v>
      </c>
      <c r="G39" s="75">
        <f>'Basic Rates'!$J$11</f>
        <v>3500</v>
      </c>
      <c r="H39" s="38">
        <f>G39*F39</f>
        <v>8750</v>
      </c>
    </row>
    <row r="40" ht="20.45" customHeight="1" spans="2:8">
      <c r="B40" s="34">
        <v>1.03999996185303</v>
      </c>
      <c r="C40" s="36" t="s">
        <v>208</v>
      </c>
      <c r="D40" s="34" t="s">
        <v>209</v>
      </c>
      <c r="E40" s="34" t="s">
        <v>175</v>
      </c>
      <c r="F40" s="34">
        <v>3</v>
      </c>
      <c r="G40" s="75">
        <f>'Basic Rates'!$J$10</f>
        <v>2300</v>
      </c>
      <c r="H40" s="38">
        <f>G40*F40</f>
        <v>6900</v>
      </c>
    </row>
    <row r="41" ht="20.45" customHeight="1" spans="2:8">
      <c r="B41" s="61"/>
      <c r="C41" s="61"/>
      <c r="D41" s="39" t="s">
        <v>579</v>
      </c>
      <c r="E41" s="40">
        <f>$F$35</f>
        <v>3.6</v>
      </c>
      <c r="F41" s="40" t="str">
        <f>$G$35</f>
        <v>Sqrs</v>
      </c>
      <c r="G41" s="41"/>
      <c r="H41" s="38">
        <f>SUM(H37:H40)</f>
        <v>33140</v>
      </c>
    </row>
    <row r="42" ht="20.45" customHeight="1" spans="2:8">
      <c r="B42" s="61"/>
      <c r="C42" s="61"/>
      <c r="D42" s="39" t="s">
        <v>580</v>
      </c>
      <c r="E42" s="40" t="str">
        <f>$G$35</f>
        <v>Sqrs</v>
      </c>
      <c r="F42" s="40"/>
      <c r="G42" s="41"/>
      <c r="H42" s="38">
        <f>H41/F35</f>
        <v>9205.55555555555</v>
      </c>
    </row>
    <row r="43" s="4" customFormat="1" ht="15" customHeight="1" spans="1:11">
      <c r="A43" s="42"/>
      <c r="B43" s="43"/>
      <c r="C43" s="43"/>
      <c r="D43" s="44" t="s">
        <v>581</v>
      </c>
      <c r="E43" s="45"/>
      <c r="F43" s="45"/>
      <c r="G43" s="78"/>
      <c r="H43" s="79">
        <f>ROUND(H42,0)</f>
        <v>9206</v>
      </c>
      <c r="K43" s="58"/>
    </row>
    <row r="44" s="4" customFormat="1" ht="30.6" customHeight="1" spans="1:8">
      <c r="A44" s="42"/>
      <c r="B44" s="42"/>
      <c r="C44" s="42"/>
      <c r="D44" s="50"/>
      <c r="E44" s="51"/>
      <c r="F44" s="51"/>
      <c r="G44" s="52"/>
      <c r="H44" s="53"/>
    </row>
    <row r="45" s="2" customFormat="1" ht="30" customHeight="1" spans="1:9">
      <c r="A45" s="29" t="s">
        <v>892</v>
      </c>
      <c r="B45" s="29"/>
      <c r="C45" s="30" t="s">
        <v>893</v>
      </c>
      <c r="D45" s="30"/>
      <c r="E45" s="30"/>
      <c r="F45" s="30"/>
      <c r="G45" s="30"/>
      <c r="H45" s="30"/>
      <c r="I45" s="57"/>
    </row>
    <row r="46" s="3" customFormat="1" ht="18" customHeight="1" spans="4:8">
      <c r="D46" s="31"/>
      <c r="E46" s="32" t="s">
        <v>570</v>
      </c>
      <c r="F46" s="31">
        <v>3.6</v>
      </c>
      <c r="G46" s="32" t="s">
        <v>592</v>
      </c>
      <c r="H46" s="33"/>
    </row>
    <row r="47" ht="15" customHeight="1" spans="2:8">
      <c r="B47" s="34" t="s">
        <v>194</v>
      </c>
      <c r="C47" s="34" t="s">
        <v>573</v>
      </c>
      <c r="D47" s="34" t="s">
        <v>574</v>
      </c>
      <c r="E47" s="34" t="s">
        <v>6</v>
      </c>
      <c r="F47" s="34" t="s">
        <v>575</v>
      </c>
      <c r="G47" s="34" t="s">
        <v>576</v>
      </c>
      <c r="H47" s="35" t="s">
        <v>577</v>
      </c>
    </row>
    <row r="48" ht="20.45" customHeight="1" spans="2:8">
      <c r="B48" s="34">
        <v>1.01</v>
      </c>
      <c r="C48" s="36" t="s">
        <v>894</v>
      </c>
      <c r="D48" s="34" t="s">
        <v>186</v>
      </c>
      <c r="E48" s="457" t="s">
        <v>187</v>
      </c>
      <c r="F48" s="34">
        <v>420</v>
      </c>
      <c r="G48" s="75">
        <f>'Basic Rates'!E6</f>
        <v>26</v>
      </c>
      <c r="H48" s="38">
        <f>G48*F48</f>
        <v>10920</v>
      </c>
    </row>
    <row r="49" ht="20.45" customHeight="1" spans="2:8">
      <c r="B49" s="34">
        <f>B48+0.01</f>
        <v>1.02</v>
      </c>
      <c r="C49" s="36" t="s">
        <v>425</v>
      </c>
      <c r="D49" s="34" t="s">
        <v>895</v>
      </c>
      <c r="E49" s="457" t="s">
        <v>194</v>
      </c>
      <c r="F49" s="34">
        <v>72</v>
      </c>
      <c r="G49" s="75">
        <f>'Basic Rates'!E112</f>
        <v>3.5</v>
      </c>
      <c r="H49" s="38">
        <f>G49*F49</f>
        <v>252</v>
      </c>
    </row>
    <row r="50" ht="20.45" customHeight="1" spans="2:8">
      <c r="B50" s="34">
        <f>B49+0.01</f>
        <v>1.03</v>
      </c>
      <c r="C50" s="36" t="s">
        <v>76</v>
      </c>
      <c r="D50" s="34" t="s">
        <v>213</v>
      </c>
      <c r="E50" s="34" t="s">
        <v>175</v>
      </c>
      <c r="F50" s="34">
        <v>1</v>
      </c>
      <c r="G50" s="75">
        <f>'Basic Rates'!$J$11</f>
        <v>3500</v>
      </c>
      <c r="H50" s="38">
        <f>G50*F50</f>
        <v>3500</v>
      </c>
    </row>
    <row r="51" ht="20.45" customHeight="1" spans="2:8">
      <c r="B51" s="34">
        <f>B50+0.01</f>
        <v>1.04</v>
      </c>
      <c r="C51" s="36" t="s">
        <v>208</v>
      </c>
      <c r="D51" s="34" t="s">
        <v>209</v>
      </c>
      <c r="E51" s="34" t="s">
        <v>175</v>
      </c>
      <c r="F51" s="34">
        <v>2</v>
      </c>
      <c r="G51" s="75">
        <f>'Basic Rates'!$J$10</f>
        <v>2300</v>
      </c>
      <c r="H51" s="38">
        <f>G51*F51</f>
        <v>4600</v>
      </c>
    </row>
    <row r="52" ht="20.45" customHeight="1" spans="2:8">
      <c r="B52" s="61"/>
      <c r="C52" s="61"/>
      <c r="D52" s="39" t="s">
        <v>579</v>
      </c>
      <c r="E52" s="40">
        <f>$F$46</f>
        <v>3.6</v>
      </c>
      <c r="F52" s="40" t="str">
        <f>$G$46</f>
        <v>Sqrs</v>
      </c>
      <c r="G52" s="41"/>
      <c r="H52" s="38">
        <f>SUM(H48:H51)</f>
        <v>19272</v>
      </c>
    </row>
    <row r="53" ht="20.45" customHeight="1" spans="2:8">
      <c r="B53" s="61"/>
      <c r="C53" s="61"/>
      <c r="D53" s="39" t="s">
        <v>580</v>
      </c>
      <c r="E53" s="40" t="str">
        <f>$G$46</f>
        <v>Sqrs</v>
      </c>
      <c r="F53" s="40"/>
      <c r="G53" s="41"/>
      <c r="H53" s="38">
        <f>H52/F46</f>
        <v>5353.33333333333</v>
      </c>
    </row>
    <row r="54" s="4" customFormat="1" ht="15" customHeight="1" spans="1:11">
      <c r="A54" s="42"/>
      <c r="B54" s="43"/>
      <c r="C54" s="43"/>
      <c r="D54" s="44" t="s">
        <v>581</v>
      </c>
      <c r="E54" s="45"/>
      <c r="F54" s="45"/>
      <c r="G54" s="78"/>
      <c r="H54" s="79">
        <f>ROUND(H53,0)</f>
        <v>5353</v>
      </c>
      <c r="K54" s="58"/>
    </row>
    <row r="55" s="4" customFormat="1" ht="30.6" customHeight="1" spans="1:8">
      <c r="A55" s="42"/>
      <c r="B55" s="42"/>
      <c r="C55" s="42"/>
      <c r="D55" s="50"/>
      <c r="E55" s="51"/>
      <c r="F55" s="51"/>
      <c r="G55" s="52"/>
      <c r="H55" s="53"/>
    </row>
    <row r="56" s="2" customFormat="1" ht="30" customHeight="1" spans="1:9">
      <c r="A56" s="29" t="s">
        <v>896</v>
      </c>
      <c r="B56" s="29"/>
      <c r="C56" s="30" t="s">
        <v>897</v>
      </c>
      <c r="D56" s="30"/>
      <c r="E56" s="30"/>
      <c r="F56" s="30"/>
      <c r="G56" s="30"/>
      <c r="H56" s="30"/>
      <c r="I56" s="57"/>
    </row>
    <row r="57" s="3" customFormat="1" ht="18" customHeight="1" spans="4:8">
      <c r="D57" s="31"/>
      <c r="E57" s="32" t="s">
        <v>570</v>
      </c>
      <c r="F57" s="31">
        <v>1</v>
      </c>
      <c r="G57" s="32" t="s">
        <v>571</v>
      </c>
      <c r="H57" s="33"/>
    </row>
    <row r="58" ht="15" customHeight="1" spans="2:8">
      <c r="B58" s="34" t="s">
        <v>194</v>
      </c>
      <c r="C58" s="34" t="s">
        <v>573</v>
      </c>
      <c r="D58" s="34" t="s">
        <v>574</v>
      </c>
      <c r="E58" s="34" t="s">
        <v>6</v>
      </c>
      <c r="F58" s="34" t="s">
        <v>575</v>
      </c>
      <c r="G58" s="34" t="s">
        <v>576</v>
      </c>
      <c r="H58" s="35" t="s">
        <v>577</v>
      </c>
    </row>
    <row r="59" ht="20.45" customHeight="1" spans="2:8">
      <c r="B59" s="34">
        <v>1.00999999046326</v>
      </c>
      <c r="C59" s="36" t="s">
        <v>317</v>
      </c>
      <c r="D59" s="34" t="s">
        <v>318</v>
      </c>
      <c r="E59" s="457" t="s">
        <v>194</v>
      </c>
      <c r="F59" s="34">
        <v>650</v>
      </c>
      <c r="G59" s="75">
        <f>'Basic Rates'!E59</f>
        <v>5</v>
      </c>
      <c r="H59" s="38">
        <f>G59*F59</f>
        <v>3250</v>
      </c>
    </row>
    <row r="60" ht="20.45" customHeight="1" spans="2:8">
      <c r="B60" s="34">
        <v>1.01999998092651</v>
      </c>
      <c r="C60" s="36" t="s">
        <v>208</v>
      </c>
      <c r="D60" s="34" t="s">
        <v>209</v>
      </c>
      <c r="E60" s="457" t="s">
        <v>175</v>
      </c>
      <c r="F60" s="34">
        <v>2</v>
      </c>
      <c r="G60" s="75">
        <f>'Basic Rates'!$J$10</f>
        <v>2300</v>
      </c>
      <c r="H60" s="38">
        <f>G60*F60</f>
        <v>4600</v>
      </c>
    </row>
    <row r="61" ht="20.45" customHeight="1" spans="2:8">
      <c r="B61" s="61"/>
      <c r="C61" s="61"/>
      <c r="D61" s="39" t="s">
        <v>579</v>
      </c>
      <c r="E61" s="40">
        <f>$F$57</f>
        <v>1</v>
      </c>
      <c r="F61" s="40" t="str">
        <f>$G$57</f>
        <v>Sqr</v>
      </c>
      <c r="G61" s="41"/>
      <c r="H61" s="38">
        <f>SUM(H59:H60)</f>
        <v>7850</v>
      </c>
    </row>
    <row r="62" ht="20.45" customHeight="1" spans="2:8">
      <c r="B62" s="61"/>
      <c r="C62" s="61"/>
      <c r="D62" s="39" t="s">
        <v>580</v>
      </c>
      <c r="E62" s="40" t="str">
        <f>$G$57</f>
        <v>Sqr</v>
      </c>
      <c r="F62" s="40"/>
      <c r="G62" s="41"/>
      <c r="H62" s="38">
        <f>H61/F57</f>
        <v>7850</v>
      </c>
    </row>
    <row r="63" s="4" customFormat="1" ht="15" customHeight="1" spans="1:11">
      <c r="A63" s="42"/>
      <c r="B63" s="43"/>
      <c r="C63" s="43"/>
      <c r="D63" s="44" t="s">
        <v>581</v>
      </c>
      <c r="E63" s="45"/>
      <c r="F63" s="45"/>
      <c r="G63" s="78" t="s">
        <v>654</v>
      </c>
      <c r="H63" s="79">
        <f>ROUND(H62,0)</f>
        <v>7850</v>
      </c>
      <c r="K63" s="58"/>
    </row>
    <row r="64" s="4" customFormat="1" ht="30.6" customHeight="1" spans="1:8">
      <c r="A64" s="42"/>
      <c r="B64" s="42"/>
      <c r="C64" s="42"/>
      <c r="D64" s="50"/>
      <c r="E64" s="51"/>
      <c r="F64" s="51"/>
      <c r="G64" s="52"/>
      <c r="H64" s="53"/>
    </row>
    <row r="65" s="2" customFormat="1" ht="30" customHeight="1" spans="1:9">
      <c r="A65" s="29" t="s">
        <v>898</v>
      </c>
      <c r="B65" s="29"/>
      <c r="C65" s="30" t="s">
        <v>899</v>
      </c>
      <c r="D65" s="30"/>
      <c r="E65" s="30"/>
      <c r="F65" s="30"/>
      <c r="G65" s="30"/>
      <c r="H65" s="30"/>
      <c r="I65" s="57"/>
    </row>
    <row r="66" s="3" customFormat="1" ht="18" customHeight="1" spans="4:8">
      <c r="D66" s="31"/>
      <c r="E66" s="32" t="s">
        <v>570</v>
      </c>
      <c r="F66" s="31">
        <v>13.33</v>
      </c>
      <c r="G66" s="32" t="s">
        <v>900</v>
      </c>
      <c r="H66" s="33"/>
    </row>
    <row r="67" ht="15" customHeight="1" spans="2:8">
      <c r="B67" s="34" t="s">
        <v>194</v>
      </c>
      <c r="C67" s="34" t="s">
        <v>573</v>
      </c>
      <c r="D67" s="34" t="s">
        <v>574</v>
      </c>
      <c r="E67" s="34" t="s">
        <v>6</v>
      </c>
      <c r="F67" s="34" t="s">
        <v>575</v>
      </c>
      <c r="G67" s="34" t="s">
        <v>576</v>
      </c>
      <c r="H67" s="35" t="s">
        <v>577</v>
      </c>
    </row>
    <row r="68" ht="20.45" customHeight="1" spans="2:8">
      <c r="B68" s="34">
        <v>1.00999999046326</v>
      </c>
      <c r="C68" s="36" t="s">
        <v>901</v>
      </c>
      <c r="D68" s="34" t="s">
        <v>419</v>
      </c>
      <c r="E68" s="457" t="s">
        <v>420</v>
      </c>
      <c r="F68" s="34">
        <v>4</v>
      </c>
      <c r="G68" s="75">
        <f>'Basic Rates'!E109</f>
        <v>245</v>
      </c>
      <c r="H68" s="38">
        <f>G68*F68</f>
        <v>980</v>
      </c>
    </row>
    <row r="69" ht="20.45" customHeight="1" spans="2:8">
      <c r="B69" s="34">
        <v>1.01999998092651</v>
      </c>
      <c r="C69" s="36" t="s">
        <v>427</v>
      </c>
      <c r="D69" s="34" t="s">
        <v>428</v>
      </c>
      <c r="E69" s="457" t="s">
        <v>194</v>
      </c>
      <c r="F69" s="34">
        <v>16</v>
      </c>
      <c r="G69" s="75">
        <f>'Basic Rates'!E113</f>
        <v>3.5</v>
      </c>
      <c r="H69" s="38">
        <f>G69*F69</f>
        <v>56</v>
      </c>
    </row>
    <row r="70" ht="20.45" customHeight="1" spans="2:8">
      <c r="B70" s="34">
        <v>1.02999997138977</v>
      </c>
      <c r="C70" s="36" t="s">
        <v>76</v>
      </c>
      <c r="D70" s="34" t="s">
        <v>213</v>
      </c>
      <c r="E70" s="34" t="s">
        <v>175</v>
      </c>
      <c r="F70" s="34">
        <v>0.25</v>
      </c>
      <c r="G70" s="75">
        <f>'Basic Rates'!$J$11</f>
        <v>3500</v>
      </c>
      <c r="H70" s="38">
        <f>G70*F70</f>
        <v>875</v>
      </c>
    </row>
    <row r="71" ht="20.45" customHeight="1" spans="2:8">
      <c r="B71" s="34">
        <v>1.03999996185303</v>
      </c>
      <c r="C71" s="36" t="s">
        <v>208</v>
      </c>
      <c r="D71" s="34" t="s">
        <v>209</v>
      </c>
      <c r="E71" s="34" t="s">
        <v>175</v>
      </c>
      <c r="F71" s="34">
        <v>0.25</v>
      </c>
      <c r="G71" s="75">
        <f>'Basic Rates'!$J$10</f>
        <v>2300</v>
      </c>
      <c r="H71" s="38">
        <f>G71*F71</f>
        <v>575</v>
      </c>
    </row>
    <row r="72" ht="20.45" customHeight="1" spans="2:8">
      <c r="B72" s="61"/>
      <c r="C72" s="61"/>
      <c r="D72" s="39" t="s">
        <v>579</v>
      </c>
      <c r="E72" s="40">
        <f>$F$66</f>
        <v>13.33</v>
      </c>
      <c r="F72" s="40" t="str">
        <f>$G$66</f>
        <v>L.ft.</v>
      </c>
      <c r="G72" s="41"/>
      <c r="H72" s="38">
        <f>SUM(H68:H71)</f>
        <v>2486</v>
      </c>
    </row>
    <row r="73" ht="20.45" customHeight="1" spans="2:8">
      <c r="B73" s="61"/>
      <c r="C73" s="61"/>
      <c r="D73" s="39" t="s">
        <v>580</v>
      </c>
      <c r="E73" s="40" t="str">
        <f>$G$66</f>
        <v>L.ft.</v>
      </c>
      <c r="F73" s="40"/>
      <c r="G73" s="41"/>
      <c r="H73" s="38">
        <f>H72/F66</f>
        <v>186.496624156039</v>
      </c>
    </row>
    <row r="74" s="4" customFormat="1" ht="15" customHeight="1" spans="1:11">
      <c r="A74" s="42"/>
      <c r="B74" s="43"/>
      <c r="C74" s="43"/>
      <c r="D74" s="44" t="s">
        <v>581</v>
      </c>
      <c r="E74" s="45"/>
      <c r="F74" s="45"/>
      <c r="G74" s="78" t="s">
        <v>719</v>
      </c>
      <c r="H74" s="47">
        <f>ROUND(H73,0)</f>
        <v>186</v>
      </c>
      <c r="K74" s="58"/>
    </row>
    <row r="75" s="4" customFormat="1" ht="30.6" customHeight="1" spans="1:11">
      <c r="A75" s="42"/>
      <c r="B75" s="42"/>
      <c r="C75" s="42"/>
      <c r="D75" s="50"/>
      <c r="E75" s="51"/>
      <c r="F75" s="51"/>
      <c r="G75" s="52"/>
      <c r="H75" s="53"/>
      <c r="K75" s="4">
        <f>33+1.5</f>
        <v>34.5</v>
      </c>
    </row>
    <row r="76" s="2" customFormat="1" ht="30" customHeight="1" spans="1:11">
      <c r="A76" s="29" t="s">
        <v>902</v>
      </c>
      <c r="B76" s="29"/>
      <c r="C76" s="30" t="s">
        <v>903</v>
      </c>
      <c r="D76" s="30"/>
      <c r="E76" s="30"/>
      <c r="F76" s="30"/>
      <c r="G76" s="30"/>
      <c r="H76" s="30"/>
      <c r="I76" s="57"/>
      <c r="K76" s="2">
        <f t="shared" ref="K76:K86" si="0">K75+1.5</f>
        <v>36</v>
      </c>
    </row>
    <row r="77" s="3" customFormat="1" ht="18" customHeight="1" spans="4:11">
      <c r="D77" s="31"/>
      <c r="E77" s="32" t="s">
        <v>570</v>
      </c>
      <c r="F77" s="31">
        <v>12</v>
      </c>
      <c r="G77" s="32" t="s">
        <v>900</v>
      </c>
      <c r="H77" s="33"/>
      <c r="K77" s="3">
        <f t="shared" si="0"/>
        <v>37.5</v>
      </c>
    </row>
    <row r="78" ht="15" customHeight="1" spans="2:11">
      <c r="B78" s="34" t="s">
        <v>194</v>
      </c>
      <c r="C78" s="34" t="s">
        <v>573</v>
      </c>
      <c r="D78" s="34" t="s">
        <v>574</v>
      </c>
      <c r="E78" s="34" t="s">
        <v>6</v>
      </c>
      <c r="F78" s="34" t="s">
        <v>575</v>
      </c>
      <c r="G78" s="34" t="s">
        <v>576</v>
      </c>
      <c r="H78" s="35" t="s">
        <v>577</v>
      </c>
      <c r="K78" s="6">
        <f t="shared" si="0"/>
        <v>39</v>
      </c>
    </row>
    <row r="79" ht="20.45" customHeight="1" spans="2:11">
      <c r="B79" s="34">
        <v>1.00999999046326</v>
      </c>
      <c r="C79" s="36" t="s">
        <v>904</v>
      </c>
      <c r="D79" s="34" t="s">
        <v>417</v>
      </c>
      <c r="E79" s="457" t="s">
        <v>194</v>
      </c>
      <c r="F79" s="34">
        <v>9</v>
      </c>
      <c r="G79" s="75">
        <f>'Basic Rates'!E108</f>
        <v>35</v>
      </c>
      <c r="H79" s="38">
        <f t="shared" ref="H79:H85" si="1">G79*F79</f>
        <v>315</v>
      </c>
      <c r="K79" s="6">
        <f t="shared" si="0"/>
        <v>40.5</v>
      </c>
    </row>
    <row r="80" ht="20.45" customHeight="1" spans="2:11">
      <c r="B80" s="34">
        <v>1.01999998092651</v>
      </c>
      <c r="C80" s="36" t="s">
        <v>24</v>
      </c>
      <c r="D80" s="34" t="s">
        <v>905</v>
      </c>
      <c r="E80" s="457" t="s">
        <v>254</v>
      </c>
      <c r="F80" s="34">
        <v>0.333</v>
      </c>
      <c r="G80" s="75">
        <f>'Basic Rates'!E29</f>
        <v>2400</v>
      </c>
      <c r="H80" s="38">
        <f t="shared" si="1"/>
        <v>799.2</v>
      </c>
      <c r="K80" s="6">
        <f t="shared" si="0"/>
        <v>42</v>
      </c>
    </row>
    <row r="81" ht="20.45" customHeight="1" spans="2:11">
      <c r="B81" s="34">
        <v>1.02999997138977</v>
      </c>
      <c r="C81" s="36" t="s">
        <v>28</v>
      </c>
      <c r="D81" s="34" t="s">
        <v>433</v>
      </c>
      <c r="E81" s="34" t="s">
        <v>638</v>
      </c>
      <c r="F81" s="34">
        <v>0.02</v>
      </c>
      <c r="G81" s="75">
        <f>'Basic Rates'!E116</f>
        <v>18000</v>
      </c>
      <c r="H81" s="38">
        <f t="shared" si="1"/>
        <v>360</v>
      </c>
      <c r="K81" s="6">
        <f t="shared" si="0"/>
        <v>43.5</v>
      </c>
    </row>
    <row r="82" ht="20.45" customHeight="1" spans="2:11">
      <c r="B82" s="34">
        <v>1.03999996185303</v>
      </c>
      <c r="C82" s="36" t="s">
        <v>436</v>
      </c>
      <c r="D82" s="34" t="s">
        <v>437</v>
      </c>
      <c r="E82" s="34" t="s">
        <v>199</v>
      </c>
      <c r="F82" s="34">
        <v>15</v>
      </c>
      <c r="G82" s="75">
        <f>'Basic Rates'!E118</f>
        <v>275</v>
      </c>
      <c r="H82" s="38">
        <f t="shared" si="1"/>
        <v>4125</v>
      </c>
      <c r="K82" s="6">
        <f t="shared" si="0"/>
        <v>45</v>
      </c>
    </row>
    <row r="83" ht="20.45" customHeight="1" spans="2:11">
      <c r="B83" s="34">
        <v>1.04999995231628</v>
      </c>
      <c r="C83" s="36" t="s">
        <v>273</v>
      </c>
      <c r="D83" s="34" t="s">
        <v>274</v>
      </c>
      <c r="E83" s="457" t="s">
        <v>199</v>
      </c>
      <c r="F83" s="34">
        <v>0.5</v>
      </c>
      <c r="G83" s="75">
        <f>'Basic Rates'!E39</f>
        <v>175</v>
      </c>
      <c r="H83" s="38">
        <f t="shared" si="1"/>
        <v>87.5</v>
      </c>
      <c r="K83" s="6">
        <f t="shared" si="0"/>
        <v>46.5</v>
      </c>
    </row>
    <row r="84" ht="20.45" customHeight="1" spans="2:11">
      <c r="B84" s="34">
        <v>1.05999994277954</v>
      </c>
      <c r="C84" s="36" t="s">
        <v>217</v>
      </c>
      <c r="D84" s="34" t="s">
        <v>218</v>
      </c>
      <c r="E84" s="34" t="s">
        <v>175</v>
      </c>
      <c r="F84" s="34">
        <v>0.25</v>
      </c>
      <c r="G84" s="75">
        <f>'Basic Rates'!J12</f>
        <v>3500</v>
      </c>
      <c r="H84" s="38">
        <f t="shared" si="1"/>
        <v>875</v>
      </c>
      <c r="K84" s="6">
        <f t="shared" si="0"/>
        <v>48</v>
      </c>
    </row>
    <row r="85" ht="20.45" customHeight="1" spans="2:11">
      <c r="B85" s="34">
        <v>1.07000005245209</v>
      </c>
      <c r="C85" s="36" t="s">
        <v>208</v>
      </c>
      <c r="D85" s="34" t="s">
        <v>209</v>
      </c>
      <c r="E85" s="34" t="s">
        <v>175</v>
      </c>
      <c r="F85" s="34">
        <v>0.25</v>
      </c>
      <c r="G85" s="75">
        <f>'Basic Rates'!$J$10</f>
        <v>2300</v>
      </c>
      <c r="H85" s="38">
        <f t="shared" si="1"/>
        <v>575</v>
      </c>
      <c r="K85" s="6">
        <f t="shared" si="0"/>
        <v>49.5</v>
      </c>
    </row>
    <row r="86" ht="20.45" customHeight="1" spans="2:11">
      <c r="B86" s="61"/>
      <c r="C86" s="61"/>
      <c r="D86" s="39" t="s">
        <v>579</v>
      </c>
      <c r="E86" s="40">
        <f>$F$77</f>
        <v>12</v>
      </c>
      <c r="F86" s="40" t="str">
        <f>$G$77</f>
        <v>L.ft.</v>
      </c>
      <c r="G86" s="41"/>
      <c r="H86" s="38">
        <f>SUM(H79:H85)</f>
        <v>7136.7</v>
      </c>
      <c r="K86" s="6">
        <f t="shared" si="0"/>
        <v>51</v>
      </c>
    </row>
    <row r="87" ht="20.45" customHeight="1" spans="2:8">
      <c r="B87" s="61"/>
      <c r="C87" s="61"/>
      <c r="D87" s="39" t="s">
        <v>580</v>
      </c>
      <c r="E87" s="40" t="str">
        <f>$G$77</f>
        <v>L.ft.</v>
      </c>
      <c r="F87" s="40"/>
      <c r="G87" s="41"/>
      <c r="H87" s="38">
        <f>H86/F77</f>
        <v>594.725</v>
      </c>
    </row>
    <row r="88" s="4" customFormat="1" ht="15" customHeight="1" spans="1:11">
      <c r="A88" s="42"/>
      <c r="B88" s="43"/>
      <c r="C88" s="43"/>
      <c r="D88" s="44" t="s">
        <v>581</v>
      </c>
      <c r="E88" s="45"/>
      <c r="F88" s="45"/>
      <c r="G88" s="78"/>
      <c r="H88" s="79">
        <f>ROUND(H87,0)</f>
        <v>595</v>
      </c>
      <c r="K88" s="58"/>
    </row>
    <row r="89" s="4" customFormat="1" ht="30.6" customHeight="1" spans="1:8">
      <c r="A89" s="42"/>
      <c r="B89" s="42"/>
      <c r="C89" s="42"/>
      <c r="D89" s="50"/>
      <c r="E89" s="51"/>
      <c r="F89" s="51"/>
      <c r="G89" s="52"/>
      <c r="H89" s="53"/>
    </row>
    <row r="90" s="2" customFormat="1" ht="30" customHeight="1" spans="1:11">
      <c r="A90" s="29" t="s">
        <v>906</v>
      </c>
      <c r="B90" s="29"/>
      <c r="C90" s="30" t="s">
        <v>907</v>
      </c>
      <c r="D90" s="30"/>
      <c r="E90" s="30"/>
      <c r="F90" s="30"/>
      <c r="G90" s="30"/>
      <c r="H90" s="30"/>
      <c r="I90" s="57"/>
      <c r="J90" s="176" t="s">
        <v>908</v>
      </c>
      <c r="K90" s="176"/>
    </row>
    <row r="91" s="3" customFormat="1" ht="18" customHeight="1" spans="4:8">
      <c r="D91" s="31"/>
      <c r="E91" s="32" t="s">
        <v>570</v>
      </c>
      <c r="F91" s="31">
        <v>100</v>
      </c>
      <c r="G91" s="32" t="s">
        <v>900</v>
      </c>
      <c r="H91" s="33"/>
    </row>
    <row r="92" ht="15" customHeight="1" spans="2:8">
      <c r="B92" s="34" t="s">
        <v>194</v>
      </c>
      <c r="C92" s="34" t="s">
        <v>573</v>
      </c>
      <c r="D92" s="34" t="s">
        <v>574</v>
      </c>
      <c r="E92" s="34" t="s">
        <v>6</v>
      </c>
      <c r="F92" s="34" t="s">
        <v>575</v>
      </c>
      <c r="G92" s="34" t="s">
        <v>576</v>
      </c>
      <c r="H92" s="35" t="s">
        <v>577</v>
      </c>
    </row>
    <row r="93" ht="20.45" customHeight="1" spans="2:8">
      <c r="B93" s="34">
        <v>1.00999999046326</v>
      </c>
      <c r="C93" s="36" t="s">
        <v>909</v>
      </c>
      <c r="D93" s="34" t="s">
        <v>506</v>
      </c>
      <c r="E93" s="457" t="s">
        <v>187</v>
      </c>
      <c r="F93" s="34">
        <v>75</v>
      </c>
      <c r="G93" s="75">
        <f>'Basic Rates'!$E$151</f>
        <v>65</v>
      </c>
      <c r="H93" s="38">
        <f>G93*F93</f>
        <v>4875</v>
      </c>
    </row>
    <row r="94" ht="20.45" customHeight="1" spans="2:8">
      <c r="B94" s="34">
        <v>1.01999998092651</v>
      </c>
      <c r="C94" s="36" t="s">
        <v>715</v>
      </c>
      <c r="D94" s="457" t="s">
        <v>676</v>
      </c>
      <c r="E94" s="457" t="s">
        <v>676</v>
      </c>
      <c r="F94" s="457" t="s">
        <v>676</v>
      </c>
      <c r="G94" s="457" t="s">
        <v>676</v>
      </c>
      <c r="H94" s="38">
        <f>H93*5/100</f>
        <v>243.75</v>
      </c>
    </row>
    <row r="95" ht="20.45" customHeight="1" spans="2:8">
      <c r="B95" s="34">
        <v>1.02999997138977</v>
      </c>
      <c r="C95" s="36" t="s">
        <v>232</v>
      </c>
      <c r="D95" s="34" t="s">
        <v>233</v>
      </c>
      <c r="E95" s="34" t="s">
        <v>194</v>
      </c>
      <c r="F95" s="34">
        <v>100</v>
      </c>
      <c r="G95" s="75">
        <f>'Basic Rates'!E18</f>
        <v>3.75</v>
      </c>
      <c r="H95" s="38">
        <f>G95*F95</f>
        <v>375</v>
      </c>
    </row>
    <row r="96" ht="20.45" customHeight="1" spans="2:8">
      <c r="B96" s="34">
        <v>1.03999996185303</v>
      </c>
      <c r="C96" s="36" t="s">
        <v>76</v>
      </c>
      <c r="D96" s="34" t="s">
        <v>213</v>
      </c>
      <c r="E96" s="34" t="s">
        <v>175</v>
      </c>
      <c r="F96" s="34">
        <v>3</v>
      </c>
      <c r="G96" s="75">
        <f>'Basic Rates'!$J$11</f>
        <v>3500</v>
      </c>
      <c r="H96" s="38">
        <f>G96*F96</f>
        <v>10500</v>
      </c>
    </row>
    <row r="97" ht="20.45" customHeight="1" spans="2:8">
      <c r="B97" s="34">
        <v>1.04999995231628</v>
      </c>
      <c r="C97" s="36" t="s">
        <v>208</v>
      </c>
      <c r="D97" s="34" t="s">
        <v>209</v>
      </c>
      <c r="E97" s="457" t="s">
        <v>175</v>
      </c>
      <c r="F97" s="34">
        <v>3</v>
      </c>
      <c r="G97" s="75">
        <f>'Basic Rates'!$J$10</f>
        <v>2300</v>
      </c>
      <c r="H97" s="38">
        <f>G97*F97</f>
        <v>6900</v>
      </c>
    </row>
    <row r="98" ht="20.45" customHeight="1" spans="2:8">
      <c r="B98" s="34">
        <v>1.05999994277954</v>
      </c>
      <c r="C98" s="36" t="s">
        <v>910</v>
      </c>
      <c r="D98" s="457" t="s">
        <v>676</v>
      </c>
      <c r="E98" s="457" t="s">
        <v>676</v>
      </c>
      <c r="F98" s="457" t="s">
        <v>676</v>
      </c>
      <c r="G98" s="457" t="s">
        <v>676</v>
      </c>
      <c r="H98" s="38">
        <f>(H97+H96)*5/100</f>
        <v>870</v>
      </c>
    </row>
    <row r="99" ht="20.45" customHeight="1" spans="2:8">
      <c r="B99" s="61"/>
      <c r="C99" s="61"/>
      <c r="D99" s="39" t="s">
        <v>579</v>
      </c>
      <c r="E99" s="40">
        <f>$F$91</f>
        <v>100</v>
      </c>
      <c r="F99" s="40" t="str">
        <f>$G$91</f>
        <v>L.ft.</v>
      </c>
      <c r="G99" s="41"/>
      <c r="H99" s="38">
        <f>SUM(H93:H98)</f>
        <v>23763.75</v>
      </c>
    </row>
    <row r="100" ht="20.45" customHeight="1" spans="2:8">
      <c r="B100" s="61"/>
      <c r="C100" s="61"/>
      <c r="D100" s="39" t="s">
        <v>580</v>
      </c>
      <c r="E100" s="40" t="str">
        <f>$G$91</f>
        <v>L.ft.</v>
      </c>
      <c r="F100" s="40"/>
      <c r="G100" s="41"/>
      <c r="H100" s="38">
        <f>H99/F91</f>
        <v>237.6375</v>
      </c>
    </row>
    <row r="101" s="4" customFormat="1" ht="15" customHeight="1" spans="1:11">
      <c r="A101" s="42"/>
      <c r="B101" s="43"/>
      <c r="C101" s="43"/>
      <c r="D101" s="44" t="s">
        <v>581</v>
      </c>
      <c r="E101" s="45"/>
      <c r="F101" s="45"/>
      <c r="G101" s="78"/>
      <c r="H101" s="79">
        <f>ROUND(H100,0)</f>
        <v>238</v>
      </c>
      <c r="K101" s="58"/>
    </row>
    <row r="102" s="4" customFormat="1" ht="30.6" customHeight="1" spans="1:8">
      <c r="A102" s="42"/>
      <c r="B102" s="42"/>
      <c r="C102" s="42"/>
      <c r="D102" s="50"/>
      <c r="E102" s="51"/>
      <c r="F102" s="51"/>
      <c r="G102" s="52"/>
      <c r="H102" s="53"/>
    </row>
    <row r="103" s="2" customFormat="1" ht="30" customHeight="1" spans="1:11">
      <c r="A103" s="29" t="s">
        <v>911</v>
      </c>
      <c r="B103" s="29"/>
      <c r="C103" s="30" t="s">
        <v>912</v>
      </c>
      <c r="D103" s="30"/>
      <c r="E103" s="30"/>
      <c r="F103" s="30"/>
      <c r="G103" s="30"/>
      <c r="H103" s="30"/>
      <c r="I103" s="57"/>
      <c r="J103" s="176" t="s">
        <v>913</v>
      </c>
      <c r="K103" s="176"/>
    </row>
    <row r="104" s="3" customFormat="1" ht="18" customHeight="1" spans="4:8">
      <c r="D104" s="31"/>
      <c r="E104" s="32" t="s">
        <v>570</v>
      </c>
      <c r="F104" s="31">
        <v>100</v>
      </c>
      <c r="G104" s="32" t="s">
        <v>900</v>
      </c>
      <c r="H104" s="33"/>
    </row>
    <row r="105" ht="15" customHeight="1" spans="2:8">
      <c r="B105" s="34" t="s">
        <v>194</v>
      </c>
      <c r="C105" s="34" t="s">
        <v>573</v>
      </c>
      <c r="D105" s="34" t="s">
        <v>574</v>
      </c>
      <c r="E105" s="34" t="s">
        <v>6</v>
      </c>
      <c r="F105" s="34" t="s">
        <v>575</v>
      </c>
      <c r="G105" s="34" t="s">
        <v>576</v>
      </c>
      <c r="H105" s="35" t="s">
        <v>577</v>
      </c>
    </row>
    <row r="106" ht="20.45" customHeight="1" spans="2:8">
      <c r="B106" s="34">
        <v>1.00999999046326</v>
      </c>
      <c r="C106" s="36" t="s">
        <v>909</v>
      </c>
      <c r="D106" s="34" t="s">
        <v>506</v>
      </c>
      <c r="E106" s="457" t="s">
        <v>187</v>
      </c>
      <c r="F106" s="34">
        <v>75</v>
      </c>
      <c r="G106" s="75">
        <f>'Basic Rates'!$E$151</f>
        <v>65</v>
      </c>
      <c r="H106" s="38">
        <f>G106*F106</f>
        <v>4875</v>
      </c>
    </row>
    <row r="107" ht="20.45" customHeight="1" spans="2:8">
      <c r="B107" s="34">
        <v>1.01999998092651</v>
      </c>
      <c r="C107" s="36" t="s">
        <v>715</v>
      </c>
      <c r="D107" s="457" t="s">
        <v>676</v>
      </c>
      <c r="E107" s="457" t="s">
        <v>676</v>
      </c>
      <c r="F107" s="457" t="s">
        <v>676</v>
      </c>
      <c r="G107" s="457" t="s">
        <v>676</v>
      </c>
      <c r="H107" s="38">
        <f>(H106)*5/100</f>
        <v>243.75</v>
      </c>
    </row>
    <row r="108" ht="20.45" customHeight="1" spans="2:8">
      <c r="B108" s="34">
        <v>1.02999997138977</v>
      </c>
      <c r="C108" s="36" t="s">
        <v>232</v>
      </c>
      <c r="D108" s="34" t="s">
        <v>233</v>
      </c>
      <c r="E108" s="34" t="s">
        <v>194</v>
      </c>
      <c r="F108" s="34">
        <v>50</v>
      </c>
      <c r="G108" s="75">
        <f>'Basic Rates'!E18</f>
        <v>3.75</v>
      </c>
      <c r="H108" s="38">
        <f>G108*F108</f>
        <v>187.5</v>
      </c>
    </row>
    <row r="109" ht="20.45" customHeight="1" spans="2:8">
      <c r="B109" s="34">
        <v>1.03999996185303</v>
      </c>
      <c r="C109" s="36" t="s">
        <v>76</v>
      </c>
      <c r="D109" s="34" t="s">
        <v>213</v>
      </c>
      <c r="E109" s="34" t="s">
        <v>175</v>
      </c>
      <c r="F109" s="34">
        <v>3</v>
      </c>
      <c r="G109" s="75">
        <f>'Basic Rates'!$J$11</f>
        <v>3500</v>
      </c>
      <c r="H109" s="38">
        <f>G109*F109</f>
        <v>10500</v>
      </c>
    </row>
    <row r="110" ht="20.45" customHeight="1" spans="2:8">
      <c r="B110" s="34">
        <v>1.04999995231628</v>
      </c>
      <c r="C110" s="36" t="s">
        <v>208</v>
      </c>
      <c r="D110" s="34" t="s">
        <v>209</v>
      </c>
      <c r="E110" s="457" t="s">
        <v>175</v>
      </c>
      <c r="F110" s="34">
        <v>3</v>
      </c>
      <c r="G110" s="75">
        <f>'Basic Rates'!$J$10</f>
        <v>2300</v>
      </c>
      <c r="H110" s="38">
        <f>G110*F110</f>
        <v>6900</v>
      </c>
    </row>
    <row r="111" ht="24.95" customHeight="1" spans="2:8">
      <c r="B111" s="34">
        <v>1.05999994277954</v>
      </c>
      <c r="C111" s="36" t="s">
        <v>914</v>
      </c>
      <c r="D111" s="457" t="s">
        <v>676</v>
      </c>
      <c r="E111" s="457" t="s">
        <v>676</v>
      </c>
      <c r="F111" s="457" t="s">
        <v>676</v>
      </c>
      <c r="G111" s="457" t="s">
        <v>676</v>
      </c>
      <c r="H111" s="38">
        <f>(H109+H110)*5/100</f>
        <v>870</v>
      </c>
    </row>
    <row r="112" ht="20.45" customHeight="1" spans="2:8">
      <c r="B112" s="61"/>
      <c r="C112" s="61"/>
      <c r="D112" s="39" t="s">
        <v>579</v>
      </c>
      <c r="E112" s="40">
        <f>$F$104</f>
        <v>100</v>
      </c>
      <c r="F112" s="40" t="str">
        <f>$G$104</f>
        <v>L.ft.</v>
      </c>
      <c r="G112" s="41"/>
      <c r="H112" s="38">
        <f>SUM(H106:H111)</f>
        <v>23576.25</v>
      </c>
    </row>
    <row r="113" ht="20.45" customHeight="1" spans="2:8">
      <c r="B113" s="61"/>
      <c r="C113" s="61"/>
      <c r="D113" s="39" t="s">
        <v>580</v>
      </c>
      <c r="E113" s="40" t="str">
        <f>$G$104</f>
        <v>L.ft.</v>
      </c>
      <c r="F113" s="40"/>
      <c r="G113" s="41"/>
      <c r="H113" s="38">
        <f>H112/F104</f>
        <v>235.7625</v>
      </c>
    </row>
    <row r="114" s="4" customFormat="1" ht="15" customHeight="1" spans="1:11">
      <c r="A114" s="42"/>
      <c r="B114" s="43"/>
      <c r="C114" s="43"/>
      <c r="D114" s="44" t="s">
        <v>581</v>
      </c>
      <c r="E114" s="45"/>
      <c r="F114" s="45"/>
      <c r="G114" s="78"/>
      <c r="H114" s="79">
        <f>ROUND(H113,0)</f>
        <v>236</v>
      </c>
      <c r="K114" s="58"/>
    </row>
    <row r="115" s="4" customFormat="1" ht="30.6" customHeight="1" spans="1:8">
      <c r="A115" s="42"/>
      <c r="B115" s="42"/>
      <c r="C115" s="42"/>
      <c r="D115" s="50"/>
      <c r="E115" s="51"/>
      <c r="F115" s="51"/>
      <c r="G115" s="52"/>
      <c r="H115" s="53"/>
    </row>
    <row r="116" s="1" customFormat="1" ht="20.25" customHeight="1" spans="1:9">
      <c r="A116" s="59" t="s">
        <v>880</v>
      </c>
      <c r="B116" s="22"/>
      <c r="C116" s="22"/>
      <c r="D116" s="22"/>
      <c r="E116" s="22"/>
      <c r="F116" s="22"/>
      <c r="G116" s="22"/>
      <c r="H116" s="60"/>
      <c r="I116" s="56"/>
    </row>
    <row r="117" ht="18" customHeight="1"/>
    <row r="118" s="2" customFormat="1" ht="39" customHeight="1" spans="1:9">
      <c r="A118" s="29" t="s">
        <v>915</v>
      </c>
      <c r="B118" s="29"/>
      <c r="C118" s="30" t="s">
        <v>916</v>
      </c>
      <c r="D118" s="30"/>
      <c r="E118" s="30"/>
      <c r="F118" s="30"/>
      <c r="G118" s="30"/>
      <c r="H118" s="30"/>
      <c r="I118" s="57"/>
    </row>
    <row r="119" s="3" customFormat="1" ht="18" customHeight="1" spans="4:8">
      <c r="D119" s="31"/>
      <c r="E119" s="32" t="s">
        <v>570</v>
      </c>
      <c r="F119" s="31">
        <v>15</v>
      </c>
      <c r="G119" s="32" t="s">
        <v>900</v>
      </c>
      <c r="H119" s="33"/>
    </row>
    <row r="120" ht="15" customHeight="1" spans="2:8">
      <c r="B120" s="34" t="s">
        <v>194</v>
      </c>
      <c r="C120" s="34" t="s">
        <v>573</v>
      </c>
      <c r="D120" s="34" t="s">
        <v>574</v>
      </c>
      <c r="E120" s="34" t="s">
        <v>6</v>
      </c>
      <c r="F120" s="34" t="s">
        <v>575</v>
      </c>
      <c r="G120" s="34" t="s">
        <v>576</v>
      </c>
      <c r="H120" s="35" t="s">
        <v>577</v>
      </c>
    </row>
    <row r="121" ht="20.45" customHeight="1" spans="2:8">
      <c r="B121" s="34">
        <v>1.00999999046326</v>
      </c>
      <c r="C121" s="36" t="s">
        <v>917</v>
      </c>
      <c r="D121" s="34" t="s">
        <v>310</v>
      </c>
      <c r="E121" s="457" t="s">
        <v>918</v>
      </c>
      <c r="F121" s="34">
        <v>2</v>
      </c>
      <c r="G121" s="75">
        <f>'Basic Rates'!$E$55</f>
        <v>2200</v>
      </c>
      <c r="H121" s="38">
        <f t="shared" ref="H121:H133" si="2">G121*F121</f>
        <v>4400</v>
      </c>
    </row>
    <row r="122" ht="20.45" customHeight="1" spans="2:8">
      <c r="B122" s="34">
        <v>1.01999998092651</v>
      </c>
      <c r="C122" s="36" t="s">
        <v>540</v>
      </c>
      <c r="D122" s="34" t="s">
        <v>541</v>
      </c>
      <c r="E122" s="457" t="s">
        <v>173</v>
      </c>
      <c r="F122" s="34">
        <v>0.25</v>
      </c>
      <c r="G122" s="75">
        <f>'Basic Rates'!E169</f>
        <v>450</v>
      </c>
      <c r="H122" s="38">
        <f t="shared" si="2"/>
        <v>112.5</v>
      </c>
    </row>
    <row r="123" ht="20.45" customHeight="1" spans="2:8">
      <c r="B123" s="34">
        <v>1.02999997138977</v>
      </c>
      <c r="C123" s="36" t="s">
        <v>24</v>
      </c>
      <c r="D123" s="34" t="s">
        <v>253</v>
      </c>
      <c r="E123" s="34" t="s">
        <v>254</v>
      </c>
      <c r="F123" s="34">
        <v>0.1</v>
      </c>
      <c r="G123" s="75">
        <f>'Basic Rates'!$E$29</f>
        <v>2400</v>
      </c>
      <c r="H123" s="38">
        <f t="shared" si="2"/>
        <v>240</v>
      </c>
    </row>
    <row r="124" ht="20.45" customHeight="1" spans="2:8">
      <c r="B124" s="34">
        <v>1.03999996185303</v>
      </c>
      <c r="C124" s="36" t="s">
        <v>436</v>
      </c>
      <c r="D124" s="34" t="s">
        <v>437</v>
      </c>
      <c r="E124" s="34" t="s">
        <v>199</v>
      </c>
      <c r="F124" s="34">
        <v>0.05</v>
      </c>
      <c r="G124" s="75">
        <f>'Basic Rates'!E118</f>
        <v>275</v>
      </c>
      <c r="H124" s="38">
        <f t="shared" si="2"/>
        <v>13.75</v>
      </c>
    </row>
    <row r="125" ht="20.45" customHeight="1" spans="2:8">
      <c r="B125" s="34">
        <v>1.04999995231628</v>
      </c>
      <c r="C125" s="36" t="s">
        <v>28</v>
      </c>
      <c r="D125" s="34" t="s">
        <v>433</v>
      </c>
      <c r="E125" s="457" t="s">
        <v>638</v>
      </c>
      <c r="F125" s="34">
        <v>0.01</v>
      </c>
      <c r="G125" s="75">
        <f>'Basic Rates'!$E$116</f>
        <v>18000</v>
      </c>
      <c r="H125" s="38">
        <f t="shared" si="2"/>
        <v>180</v>
      </c>
    </row>
    <row r="126" ht="24.95" customHeight="1" spans="2:8">
      <c r="B126" s="34">
        <v>1.05999994277954</v>
      </c>
      <c r="C126" s="36" t="s">
        <v>787</v>
      </c>
      <c r="D126" s="34" t="s">
        <v>494</v>
      </c>
      <c r="E126" s="457" t="s">
        <v>187</v>
      </c>
      <c r="F126" s="34">
        <v>50</v>
      </c>
      <c r="G126" s="75">
        <f>'Basic Rates'!E145</f>
        <v>65</v>
      </c>
      <c r="H126" s="38">
        <f t="shared" si="2"/>
        <v>3250</v>
      </c>
    </row>
    <row r="127" ht="24.95" customHeight="1" spans="2:8">
      <c r="B127" s="34">
        <v>1.07000005245209</v>
      </c>
      <c r="C127" s="36" t="s">
        <v>919</v>
      </c>
      <c r="D127" s="34" t="s">
        <v>351</v>
      </c>
      <c r="E127" s="457" t="s">
        <v>199</v>
      </c>
      <c r="F127" s="34">
        <v>2</v>
      </c>
      <c r="G127" s="75">
        <f>'Basic Rates'!E75</f>
        <v>50</v>
      </c>
      <c r="H127" s="38">
        <f t="shared" si="2"/>
        <v>100</v>
      </c>
    </row>
    <row r="128" ht="20.45" customHeight="1" spans="2:8">
      <c r="B128" s="34">
        <v>1.08000004291534</v>
      </c>
      <c r="C128" s="36" t="s">
        <v>76</v>
      </c>
      <c r="D128" s="34" t="s">
        <v>213</v>
      </c>
      <c r="E128" s="457" t="s">
        <v>175</v>
      </c>
      <c r="F128" s="34">
        <v>1</v>
      </c>
      <c r="G128" s="75">
        <f>'Basic Rates'!$J$11</f>
        <v>3500</v>
      </c>
      <c r="H128" s="38">
        <f t="shared" si="2"/>
        <v>3500</v>
      </c>
    </row>
    <row r="129" ht="20.45" customHeight="1" spans="2:8">
      <c r="B129" s="34">
        <v>1.0900000333786</v>
      </c>
      <c r="C129" s="36" t="s">
        <v>208</v>
      </c>
      <c r="D129" s="34" t="s">
        <v>209</v>
      </c>
      <c r="E129" s="457" t="s">
        <v>175</v>
      </c>
      <c r="F129" s="34">
        <v>1</v>
      </c>
      <c r="G129" s="75">
        <f>'Basic Rates'!$J$10</f>
        <v>2300</v>
      </c>
      <c r="H129" s="38">
        <f t="shared" si="2"/>
        <v>2300</v>
      </c>
    </row>
    <row r="130" ht="20.45" customHeight="1" spans="2:8">
      <c r="B130" s="68">
        <v>1.10000002384186</v>
      </c>
      <c r="C130" s="36" t="s">
        <v>200</v>
      </c>
      <c r="D130" s="34" t="s">
        <v>201</v>
      </c>
      <c r="E130" s="34" t="s">
        <v>175</v>
      </c>
      <c r="F130" s="34">
        <v>0.5</v>
      </c>
      <c r="G130" s="75">
        <f>'Basic Rates'!$J$8</f>
        <v>3500</v>
      </c>
      <c r="H130" s="38">
        <f t="shared" si="2"/>
        <v>1750</v>
      </c>
    </row>
    <row r="131" ht="20.45" customHeight="1" spans="2:8">
      <c r="B131" s="34">
        <v>1.11000001430511</v>
      </c>
      <c r="C131" s="36" t="s">
        <v>208</v>
      </c>
      <c r="D131" s="34" t="s">
        <v>209</v>
      </c>
      <c r="E131" s="34" t="s">
        <v>175</v>
      </c>
      <c r="F131" s="34">
        <v>0.5</v>
      </c>
      <c r="G131" s="75">
        <f>'Basic Rates'!$J$10</f>
        <v>2300</v>
      </c>
      <c r="H131" s="38">
        <f t="shared" si="2"/>
        <v>1150</v>
      </c>
    </row>
    <row r="132" ht="20.45" customHeight="1" spans="2:8">
      <c r="B132" s="34">
        <v>1.12000000476837</v>
      </c>
      <c r="C132" s="36" t="s">
        <v>217</v>
      </c>
      <c r="D132" s="34" t="s">
        <v>218</v>
      </c>
      <c r="E132" s="457" t="s">
        <v>175</v>
      </c>
      <c r="F132" s="34">
        <v>0.25</v>
      </c>
      <c r="G132" s="75">
        <f>'Basic Rates'!$J$12</f>
        <v>3500</v>
      </c>
      <c r="H132" s="38">
        <f t="shared" si="2"/>
        <v>875</v>
      </c>
    </row>
    <row r="133" ht="24.95" customHeight="1" spans="2:8">
      <c r="B133" s="34">
        <v>1.12999999523163</v>
      </c>
      <c r="C133" s="36" t="s">
        <v>208</v>
      </c>
      <c r="D133" s="34" t="s">
        <v>209</v>
      </c>
      <c r="E133" s="457" t="s">
        <v>175</v>
      </c>
      <c r="F133" s="34">
        <v>0.25</v>
      </c>
      <c r="G133" s="75">
        <f>'Basic Rates'!$J$10</f>
        <v>2300</v>
      </c>
      <c r="H133" s="38">
        <f t="shared" si="2"/>
        <v>575</v>
      </c>
    </row>
    <row r="134" ht="20.45" customHeight="1" spans="2:8">
      <c r="B134" s="61"/>
      <c r="C134" s="61"/>
      <c r="D134" s="39" t="s">
        <v>579</v>
      </c>
      <c r="E134" s="40">
        <f>$F$119</f>
        <v>15</v>
      </c>
      <c r="F134" s="40" t="str">
        <f>$G$119</f>
        <v>L.ft.</v>
      </c>
      <c r="G134" s="41"/>
      <c r="H134" s="38">
        <f>SUM(H121:H133)</f>
        <v>18446.25</v>
      </c>
    </row>
    <row r="135" ht="20.45" customHeight="1" spans="2:8">
      <c r="B135" s="61"/>
      <c r="C135" s="61"/>
      <c r="D135" s="39" t="s">
        <v>580</v>
      </c>
      <c r="E135" s="40" t="str">
        <f>$G$119</f>
        <v>L.ft.</v>
      </c>
      <c r="F135" s="40"/>
      <c r="G135" s="41"/>
      <c r="H135" s="38">
        <f>H134/F119</f>
        <v>1229.75</v>
      </c>
    </row>
    <row r="136" s="4" customFormat="1" ht="15" customHeight="1" spans="1:11">
      <c r="A136" s="42"/>
      <c r="B136" s="43"/>
      <c r="C136" s="43"/>
      <c r="D136" s="44" t="s">
        <v>581</v>
      </c>
      <c r="E136" s="45"/>
      <c r="F136" s="45"/>
      <c r="G136" s="78"/>
      <c r="H136" s="79">
        <f>ROUND(H135,0)</f>
        <v>1230</v>
      </c>
      <c r="K136" s="58"/>
    </row>
    <row r="137" s="4" customFormat="1" ht="30.6" customHeight="1" spans="1:8">
      <c r="A137" s="42"/>
      <c r="B137" s="42"/>
      <c r="C137" s="42"/>
      <c r="D137" s="50"/>
      <c r="E137" s="51"/>
      <c r="F137" s="51"/>
      <c r="G137" s="52"/>
      <c r="H137" s="53"/>
    </row>
    <row r="138" s="2" customFormat="1" ht="45.75" customHeight="1" spans="1:9">
      <c r="A138" s="29" t="s">
        <v>920</v>
      </c>
      <c r="B138" s="29"/>
      <c r="C138" s="30" t="s">
        <v>921</v>
      </c>
      <c r="D138" s="30"/>
      <c r="E138" s="30"/>
      <c r="F138" s="30"/>
      <c r="G138" s="30"/>
      <c r="H138" s="30"/>
      <c r="I138" s="57"/>
    </row>
    <row r="139" s="3" customFormat="1" ht="18" customHeight="1" spans="4:8">
      <c r="D139" s="31"/>
      <c r="E139" s="32" t="s">
        <v>570</v>
      </c>
      <c r="F139" s="31">
        <v>15</v>
      </c>
      <c r="G139" s="32" t="s">
        <v>900</v>
      </c>
      <c r="H139" s="33"/>
    </row>
    <row r="140" ht="15" customHeight="1" spans="2:8">
      <c r="B140" s="34" t="s">
        <v>194</v>
      </c>
      <c r="C140" s="34" t="s">
        <v>573</v>
      </c>
      <c r="D140" s="34" t="s">
        <v>574</v>
      </c>
      <c r="E140" s="34" t="s">
        <v>6</v>
      </c>
      <c r="F140" s="34" t="s">
        <v>575</v>
      </c>
      <c r="G140" s="34" t="s">
        <v>576</v>
      </c>
      <c r="H140" s="35" t="s">
        <v>577</v>
      </c>
    </row>
    <row r="141" ht="20.45" customHeight="1" spans="2:8">
      <c r="B141" s="34">
        <v>1.00999999046326</v>
      </c>
      <c r="C141" s="36" t="s">
        <v>917</v>
      </c>
      <c r="D141" s="34" t="s">
        <v>310</v>
      </c>
      <c r="E141" s="457" t="s">
        <v>918</v>
      </c>
      <c r="F141" s="34">
        <v>1</v>
      </c>
      <c r="G141" s="75">
        <f>'Basic Rates'!$E$55</f>
        <v>2200</v>
      </c>
      <c r="H141" s="38">
        <f t="shared" ref="H141:H147" si="3">G141*F141</f>
        <v>2200</v>
      </c>
    </row>
    <row r="142" ht="20.45" customHeight="1" spans="2:8">
      <c r="B142" s="34">
        <v>1.01999998092651</v>
      </c>
      <c r="C142" s="36" t="s">
        <v>24</v>
      </c>
      <c r="D142" s="34" t="s">
        <v>253</v>
      </c>
      <c r="E142" s="457" t="s">
        <v>254</v>
      </c>
      <c r="F142" s="34">
        <v>0.05</v>
      </c>
      <c r="G142" s="75">
        <f>'Basic Rates'!$E$29</f>
        <v>2400</v>
      </c>
      <c r="H142" s="38">
        <f t="shared" si="3"/>
        <v>120</v>
      </c>
    </row>
    <row r="143" ht="20.45" customHeight="1" spans="2:8">
      <c r="B143" s="34">
        <v>1.02999997138977</v>
      </c>
      <c r="C143" s="36" t="s">
        <v>28</v>
      </c>
      <c r="D143" s="34" t="s">
        <v>433</v>
      </c>
      <c r="E143" s="34" t="s">
        <v>638</v>
      </c>
      <c r="F143" s="34">
        <v>0.01</v>
      </c>
      <c r="G143" s="75">
        <f>'Basic Rates'!$E$116</f>
        <v>18000</v>
      </c>
      <c r="H143" s="38">
        <f t="shared" si="3"/>
        <v>180</v>
      </c>
    </row>
    <row r="144" ht="20.45" customHeight="1" spans="2:8">
      <c r="B144" s="34">
        <v>1.03999996185303</v>
      </c>
      <c r="C144" s="36" t="s">
        <v>438</v>
      </c>
      <c r="D144" s="34" t="s">
        <v>439</v>
      </c>
      <c r="E144" s="34" t="s">
        <v>199</v>
      </c>
      <c r="F144" s="34">
        <v>1</v>
      </c>
      <c r="G144" s="75">
        <f>'Basic Rates'!E119</f>
        <v>13.75</v>
      </c>
      <c r="H144" s="38">
        <f t="shared" si="3"/>
        <v>13.75</v>
      </c>
    </row>
    <row r="145" ht="20.45" customHeight="1" spans="2:8">
      <c r="B145" s="34">
        <v>1.04999995231628</v>
      </c>
      <c r="C145" s="36" t="s">
        <v>200</v>
      </c>
      <c r="D145" s="34" t="s">
        <v>201</v>
      </c>
      <c r="E145" s="457" t="s">
        <v>175</v>
      </c>
      <c r="F145" s="34">
        <v>0.5</v>
      </c>
      <c r="G145" s="75">
        <f>'Basic Rates'!$J$8</f>
        <v>3500</v>
      </c>
      <c r="H145" s="38">
        <f t="shared" si="3"/>
        <v>1750</v>
      </c>
    </row>
    <row r="146" ht="24.95" customHeight="1" spans="2:8">
      <c r="B146" s="34">
        <v>1.05999994277954</v>
      </c>
      <c r="C146" s="36" t="s">
        <v>217</v>
      </c>
      <c r="D146" s="34" t="s">
        <v>218</v>
      </c>
      <c r="E146" s="457" t="s">
        <v>175</v>
      </c>
      <c r="F146" s="34">
        <v>0.125</v>
      </c>
      <c r="G146" s="75">
        <f>'Basic Rates'!$J$12</f>
        <v>3500</v>
      </c>
      <c r="H146" s="38">
        <f t="shared" si="3"/>
        <v>437.5</v>
      </c>
    </row>
    <row r="147" ht="24.95" customHeight="1" spans="2:8">
      <c r="B147" s="34">
        <v>1.07000005245209</v>
      </c>
      <c r="C147" s="36" t="s">
        <v>208</v>
      </c>
      <c r="D147" s="34" t="s">
        <v>209</v>
      </c>
      <c r="E147" s="457" t="s">
        <v>175</v>
      </c>
      <c r="F147" s="34">
        <v>0.75</v>
      </c>
      <c r="G147" s="75">
        <f>'Basic Rates'!$J$10</f>
        <v>2300</v>
      </c>
      <c r="H147" s="38">
        <f t="shared" si="3"/>
        <v>1725</v>
      </c>
    </row>
    <row r="148" ht="20.45" customHeight="1" spans="2:8">
      <c r="B148" s="61"/>
      <c r="C148" s="61"/>
      <c r="D148" s="39" t="s">
        <v>579</v>
      </c>
      <c r="E148" s="40">
        <f>$F$139</f>
        <v>15</v>
      </c>
      <c r="F148" s="40" t="str">
        <f>$G$139</f>
        <v>L.ft.</v>
      </c>
      <c r="G148" s="41"/>
      <c r="H148" s="38">
        <f>SUM(H141:H147)</f>
        <v>6426.25</v>
      </c>
    </row>
    <row r="149" ht="20.45" customHeight="1" spans="2:8">
      <c r="B149" s="61"/>
      <c r="C149" s="61"/>
      <c r="D149" s="39" t="s">
        <v>580</v>
      </c>
      <c r="E149" s="40" t="str">
        <f>$G$139</f>
        <v>L.ft.</v>
      </c>
      <c r="F149" s="40"/>
      <c r="G149" s="41"/>
      <c r="H149" s="38">
        <f>H148/F139</f>
        <v>428.416666666667</v>
      </c>
    </row>
    <row r="150" s="4" customFormat="1" ht="15" customHeight="1" spans="1:11">
      <c r="A150" s="42"/>
      <c r="B150" s="43"/>
      <c r="C150" s="43"/>
      <c r="D150" s="44" t="s">
        <v>581</v>
      </c>
      <c r="E150" s="45"/>
      <c r="F150" s="45"/>
      <c r="G150" s="78"/>
      <c r="H150" s="79">
        <f>ROUND(H149,0)</f>
        <v>428</v>
      </c>
      <c r="K150" s="58"/>
    </row>
    <row r="151" s="4" customFormat="1" ht="30.6" customHeight="1" spans="1:8">
      <c r="A151" s="42"/>
      <c r="B151" s="42"/>
      <c r="C151" s="42"/>
      <c r="D151" s="50"/>
      <c r="E151" s="51"/>
      <c r="F151" s="51"/>
      <c r="G151" s="52"/>
      <c r="H151" s="53"/>
    </row>
    <row r="152" s="2" customFormat="1" ht="29.25" customHeight="1" spans="1:9">
      <c r="A152" s="29" t="s">
        <v>922</v>
      </c>
      <c r="B152" s="29"/>
      <c r="C152" s="30" t="s">
        <v>923</v>
      </c>
      <c r="D152" s="30"/>
      <c r="E152" s="30"/>
      <c r="F152" s="30"/>
      <c r="G152" s="30"/>
      <c r="H152" s="30"/>
      <c r="I152" s="57"/>
    </row>
    <row r="153" s="3" customFormat="1" ht="18" customHeight="1" spans="4:8">
      <c r="D153" s="31"/>
      <c r="E153" s="32" t="s">
        <v>570</v>
      </c>
      <c r="F153" s="31">
        <v>24</v>
      </c>
      <c r="G153" s="32" t="s">
        <v>900</v>
      </c>
      <c r="H153" s="33"/>
    </row>
    <row r="154" ht="15" customHeight="1" spans="2:8">
      <c r="B154" s="34" t="s">
        <v>194</v>
      </c>
      <c r="C154" s="34" t="s">
        <v>573</v>
      </c>
      <c r="D154" s="34" t="s">
        <v>574</v>
      </c>
      <c r="E154" s="34" t="s">
        <v>6</v>
      </c>
      <c r="F154" s="34" t="s">
        <v>575</v>
      </c>
      <c r="G154" s="34" t="s">
        <v>576</v>
      </c>
      <c r="H154" s="35" t="s">
        <v>577</v>
      </c>
    </row>
    <row r="155" ht="20.45" customHeight="1" spans="2:8">
      <c r="B155" s="34">
        <v>1.00999999046326</v>
      </c>
      <c r="C155" s="36" t="s">
        <v>924</v>
      </c>
      <c r="D155" s="34" t="s">
        <v>383</v>
      </c>
      <c r="E155" s="34" t="s">
        <v>194</v>
      </c>
      <c r="F155" s="34">
        <v>2</v>
      </c>
      <c r="G155" s="75">
        <f>'Basic Rates'!E91</f>
        <v>0</v>
      </c>
      <c r="H155" s="38">
        <f t="shared" ref="H155:H161" si="4">G155*F155</f>
        <v>0</v>
      </c>
    </row>
    <row r="156" ht="20.45" customHeight="1" spans="2:8">
      <c r="B156" s="34">
        <v>1.01999998092651</v>
      </c>
      <c r="C156" s="36" t="s">
        <v>925</v>
      </c>
      <c r="D156" s="34" t="s">
        <v>316</v>
      </c>
      <c r="E156" s="34" t="s">
        <v>194</v>
      </c>
      <c r="F156" s="34">
        <v>1</v>
      </c>
      <c r="G156" s="75">
        <f>'Basic Rates'!$E$58</f>
        <v>0</v>
      </c>
      <c r="H156" s="38">
        <f t="shared" si="4"/>
        <v>0</v>
      </c>
    </row>
    <row r="157" ht="20.45" customHeight="1" spans="2:8">
      <c r="B157" s="34">
        <v>1.02999997138977</v>
      </c>
      <c r="C157" s="36" t="s">
        <v>926</v>
      </c>
      <c r="D157" s="34" t="s">
        <v>314</v>
      </c>
      <c r="E157" s="34" t="s">
        <v>194</v>
      </c>
      <c r="F157" s="34">
        <v>17</v>
      </c>
      <c r="G157" s="75">
        <f>'Basic Rates'!$E$57</f>
        <v>0</v>
      </c>
      <c r="H157" s="38">
        <f t="shared" si="4"/>
        <v>0</v>
      </c>
    </row>
    <row r="158" ht="20.45" customHeight="1" spans="2:8">
      <c r="B158" s="34">
        <v>1.03999996185303</v>
      </c>
      <c r="C158" s="36" t="s">
        <v>90</v>
      </c>
      <c r="D158" s="34" t="s">
        <v>237</v>
      </c>
      <c r="E158" s="34" t="s">
        <v>194</v>
      </c>
      <c r="F158" s="34">
        <v>34</v>
      </c>
      <c r="G158" s="75">
        <f>'Basic Rates'!$E$20</f>
        <v>7</v>
      </c>
      <c r="H158" s="38">
        <f t="shared" si="4"/>
        <v>238</v>
      </c>
    </row>
    <row r="159" ht="20.45" customHeight="1" spans="2:8">
      <c r="B159" s="34">
        <v>1.04999995231628</v>
      </c>
      <c r="C159" s="36" t="s">
        <v>163</v>
      </c>
      <c r="D159" s="34" t="s">
        <v>441</v>
      </c>
      <c r="E159" s="34" t="s">
        <v>927</v>
      </c>
      <c r="F159" s="34">
        <v>20</v>
      </c>
      <c r="G159" s="75">
        <f>'Basic Rates'!$E$120</f>
        <v>1.4</v>
      </c>
      <c r="H159" s="38">
        <f t="shared" si="4"/>
        <v>28</v>
      </c>
    </row>
    <row r="160" ht="24.95" customHeight="1" spans="2:8">
      <c r="B160" s="34">
        <v>1.05999994277954</v>
      </c>
      <c r="C160" s="36" t="s">
        <v>181</v>
      </c>
      <c r="D160" s="34" t="s">
        <v>182</v>
      </c>
      <c r="E160" s="457" t="s">
        <v>175</v>
      </c>
      <c r="F160" s="34">
        <v>0.5</v>
      </c>
      <c r="G160" s="75">
        <f>'Basic Rates'!$J$5</f>
        <v>3500</v>
      </c>
      <c r="H160" s="38">
        <f t="shared" si="4"/>
        <v>1750</v>
      </c>
    </row>
    <row r="161" ht="24.95" customHeight="1" spans="2:8">
      <c r="B161" s="34">
        <v>1.07000005245209</v>
      </c>
      <c r="C161" s="36" t="s">
        <v>208</v>
      </c>
      <c r="D161" s="34" t="s">
        <v>209</v>
      </c>
      <c r="E161" s="457" t="s">
        <v>175</v>
      </c>
      <c r="F161" s="34">
        <v>0.5</v>
      </c>
      <c r="G161" s="75">
        <f>'Basic Rates'!$J$10</f>
        <v>2300</v>
      </c>
      <c r="H161" s="38">
        <f t="shared" si="4"/>
        <v>1150</v>
      </c>
    </row>
    <row r="162" ht="24.95" customHeight="1" spans="2:8">
      <c r="B162" s="34">
        <v>1.08000016212463</v>
      </c>
      <c r="C162" s="36" t="s">
        <v>928</v>
      </c>
      <c r="D162" s="177"/>
      <c r="E162" s="40"/>
      <c r="F162" s="40"/>
      <c r="G162" s="178"/>
      <c r="H162" s="38">
        <f>(H161+H160)*5/100</f>
        <v>145</v>
      </c>
    </row>
    <row r="163" ht="20.45" customHeight="1" spans="2:8">
      <c r="B163" s="61"/>
      <c r="C163" s="61"/>
      <c r="D163" s="39" t="s">
        <v>579</v>
      </c>
      <c r="E163" s="40">
        <v>24</v>
      </c>
      <c r="F163" s="40" t="str">
        <f>$G$139</f>
        <v>L.ft.</v>
      </c>
      <c r="G163" s="41"/>
      <c r="H163" s="38">
        <f>SUM(H155:H162)</f>
        <v>3311</v>
      </c>
    </row>
    <row r="164" ht="20.45" customHeight="1" spans="2:8">
      <c r="B164" s="61"/>
      <c r="C164" s="61"/>
      <c r="D164" s="39" t="s">
        <v>580</v>
      </c>
      <c r="E164" s="40" t="str">
        <f>$G$139</f>
        <v>L.ft.</v>
      </c>
      <c r="F164" s="40"/>
      <c r="G164" s="41"/>
      <c r="H164" s="38">
        <f>H163/F153</f>
        <v>137.958333333333</v>
      </c>
    </row>
    <row r="165" s="4" customFormat="1" ht="15" customHeight="1" spans="1:11">
      <c r="A165" s="42"/>
      <c r="B165" s="43"/>
      <c r="C165" s="43"/>
      <c r="D165" s="44" t="s">
        <v>581</v>
      </c>
      <c r="E165" s="45"/>
      <c r="F165" s="45"/>
      <c r="G165" s="46" t="s">
        <v>929</v>
      </c>
      <c r="H165" s="79">
        <f>ROUND(H164,0)</f>
        <v>138</v>
      </c>
      <c r="K165" s="58"/>
    </row>
    <row r="168" s="2" customFormat="1" ht="29.25" customHeight="1" spans="1:9">
      <c r="A168" s="29" t="s">
        <v>930</v>
      </c>
      <c r="B168" s="29"/>
      <c r="C168" s="30" t="s">
        <v>931</v>
      </c>
      <c r="D168" s="30"/>
      <c r="E168" s="30"/>
      <c r="F168" s="30"/>
      <c r="G168" s="30"/>
      <c r="H168" s="30"/>
      <c r="I168" s="57"/>
    </row>
    <row r="169" s="3" customFormat="1" ht="18" customHeight="1" spans="4:8">
      <c r="D169" s="31"/>
      <c r="E169" s="32" t="s">
        <v>570</v>
      </c>
      <c r="F169" s="31">
        <v>1</v>
      </c>
      <c r="G169" s="32" t="s">
        <v>572</v>
      </c>
      <c r="H169" s="33"/>
    </row>
    <row r="170" ht="15" customHeight="1" spans="2:8">
      <c r="B170" s="34" t="s">
        <v>194</v>
      </c>
      <c r="C170" s="34" t="s">
        <v>573</v>
      </c>
      <c r="D170" s="34" t="s">
        <v>574</v>
      </c>
      <c r="E170" s="34" t="s">
        <v>6</v>
      </c>
      <c r="F170" s="34" t="s">
        <v>575</v>
      </c>
      <c r="G170" s="34" t="s">
        <v>576</v>
      </c>
      <c r="H170" s="35" t="s">
        <v>577</v>
      </c>
    </row>
    <row r="171" ht="20.45" customHeight="1" spans="2:8">
      <c r="B171" s="34">
        <v>1.00999999046326</v>
      </c>
      <c r="C171" s="36" t="s">
        <v>931</v>
      </c>
      <c r="D171" s="34" t="s">
        <v>385</v>
      </c>
      <c r="E171" s="34" t="s">
        <v>194</v>
      </c>
      <c r="F171" s="34">
        <v>1</v>
      </c>
      <c r="G171" s="75">
        <f>'Basic Rates'!E92</f>
        <v>0</v>
      </c>
      <c r="H171" s="38">
        <f t="shared" ref="H171:H177" si="5">G171*F171</f>
        <v>0</v>
      </c>
    </row>
    <row r="172" ht="20.45" customHeight="1" spans="2:8">
      <c r="B172" s="34">
        <v>1.01999998092651</v>
      </c>
      <c r="C172" s="36" t="s">
        <v>932</v>
      </c>
      <c r="D172" s="34" t="s">
        <v>316</v>
      </c>
      <c r="E172" s="34" t="s">
        <v>194</v>
      </c>
      <c r="F172" s="34">
        <v>2</v>
      </c>
      <c r="G172" s="75">
        <f>'Basic Rates'!$E$58</f>
        <v>0</v>
      </c>
      <c r="H172" s="38">
        <f t="shared" si="5"/>
        <v>0</v>
      </c>
    </row>
    <row r="173" ht="20.45" customHeight="1" spans="2:8">
      <c r="B173" s="34">
        <v>1.02999997138977</v>
      </c>
      <c r="C173" s="36" t="s">
        <v>926</v>
      </c>
      <c r="D173" s="34" t="s">
        <v>314</v>
      </c>
      <c r="E173" s="34" t="s">
        <v>194</v>
      </c>
      <c r="F173" s="34">
        <v>2</v>
      </c>
      <c r="G173" s="75">
        <f>'Basic Rates'!$E$57</f>
        <v>0</v>
      </c>
      <c r="H173" s="38">
        <f t="shared" si="5"/>
        <v>0</v>
      </c>
    </row>
    <row r="174" ht="20.45" customHeight="1" spans="2:8">
      <c r="B174" s="34">
        <v>1.03999996185303</v>
      </c>
      <c r="C174" s="36" t="s">
        <v>90</v>
      </c>
      <c r="D174" s="34" t="s">
        <v>237</v>
      </c>
      <c r="E174" s="34" t="s">
        <v>194</v>
      </c>
      <c r="F174" s="34">
        <v>4</v>
      </c>
      <c r="G174" s="75">
        <f>'Basic Rates'!$E$20</f>
        <v>7</v>
      </c>
      <c r="H174" s="38">
        <f t="shared" si="5"/>
        <v>28</v>
      </c>
    </row>
    <row r="175" ht="20.45" customHeight="1" spans="2:8">
      <c r="B175" s="34">
        <v>1.04999995231628</v>
      </c>
      <c r="C175" s="36" t="s">
        <v>163</v>
      </c>
      <c r="D175" s="34" t="s">
        <v>441</v>
      </c>
      <c r="E175" s="34" t="s">
        <v>927</v>
      </c>
      <c r="F175" s="34">
        <v>12</v>
      </c>
      <c r="G175" s="75">
        <f>'Basic Rates'!$E$120</f>
        <v>1.4</v>
      </c>
      <c r="H175" s="38">
        <f t="shared" si="5"/>
        <v>16.8</v>
      </c>
    </row>
    <row r="176" ht="24.95" customHeight="1" spans="2:8">
      <c r="B176" s="34">
        <v>1.05999994277954</v>
      </c>
      <c r="C176" s="36" t="s">
        <v>181</v>
      </c>
      <c r="D176" s="34" t="s">
        <v>182</v>
      </c>
      <c r="E176" s="457" t="s">
        <v>175</v>
      </c>
      <c r="F176" s="34">
        <v>0.125</v>
      </c>
      <c r="G176" s="75">
        <f>'Basic Rates'!$J$5</f>
        <v>3500</v>
      </c>
      <c r="H176" s="38">
        <f t="shared" si="5"/>
        <v>437.5</v>
      </c>
    </row>
    <row r="177" ht="24.95" customHeight="1" spans="2:8">
      <c r="B177" s="34">
        <v>1.07000005245209</v>
      </c>
      <c r="C177" s="36" t="s">
        <v>208</v>
      </c>
      <c r="D177" s="34" t="s">
        <v>209</v>
      </c>
      <c r="E177" s="457" t="s">
        <v>175</v>
      </c>
      <c r="F177" s="34">
        <v>0.125</v>
      </c>
      <c r="G177" s="75">
        <f>'Basic Rates'!$J$10</f>
        <v>2300</v>
      </c>
      <c r="H177" s="38">
        <f t="shared" si="5"/>
        <v>287.5</v>
      </c>
    </row>
    <row r="178" ht="24.95" customHeight="1" spans="2:8">
      <c r="B178" s="34">
        <v>1.08000016212463</v>
      </c>
      <c r="C178" s="36" t="s">
        <v>928</v>
      </c>
      <c r="D178" s="177"/>
      <c r="E178" s="40"/>
      <c r="F178" s="40"/>
      <c r="G178" s="178"/>
      <c r="H178" s="38">
        <f>(H177+H176)*5/100</f>
        <v>36.25</v>
      </c>
    </row>
    <row r="179" ht="20.45" customHeight="1" spans="2:8">
      <c r="B179" s="61"/>
      <c r="C179" s="61"/>
      <c r="D179" s="39" t="s">
        <v>579</v>
      </c>
      <c r="E179" s="40">
        <v>1</v>
      </c>
      <c r="F179" s="40" t="str">
        <f>G169</f>
        <v>No.</v>
      </c>
      <c r="G179" s="41"/>
      <c r="H179" s="38">
        <f>SUM(H171:H178)</f>
        <v>806.05</v>
      </c>
    </row>
    <row r="180" ht="20.45" customHeight="1" spans="2:8">
      <c r="B180" s="61"/>
      <c r="C180" s="61"/>
      <c r="D180" s="39" t="s">
        <v>580</v>
      </c>
      <c r="E180" s="40" t="str">
        <f>G169</f>
        <v>No.</v>
      </c>
      <c r="F180" s="40"/>
      <c r="G180" s="41"/>
      <c r="H180" s="38">
        <f>H179/F169</f>
        <v>806.05</v>
      </c>
    </row>
    <row r="181" s="4" customFormat="1" ht="15" customHeight="1" spans="1:11">
      <c r="A181" s="42"/>
      <c r="B181" s="43"/>
      <c r="C181" s="43"/>
      <c r="D181" s="44" t="s">
        <v>581</v>
      </c>
      <c r="E181" s="45"/>
      <c r="F181" s="45"/>
      <c r="G181" s="46" t="s">
        <v>933</v>
      </c>
      <c r="H181" s="79">
        <f>ROUND(H180,0)</f>
        <v>806</v>
      </c>
      <c r="K181" s="58"/>
    </row>
    <row r="184" s="2" customFormat="1" ht="29.25" customHeight="1" spans="1:9">
      <c r="A184" s="29" t="s">
        <v>934</v>
      </c>
      <c r="B184" s="29"/>
      <c r="C184" s="30" t="s">
        <v>935</v>
      </c>
      <c r="D184" s="30"/>
      <c r="E184" s="30"/>
      <c r="F184" s="30"/>
      <c r="G184" s="30"/>
      <c r="H184" s="30"/>
      <c r="I184" s="57"/>
    </row>
    <row r="185" s="3" customFormat="1" ht="18" customHeight="1" spans="4:8">
      <c r="D185" s="31"/>
      <c r="E185" s="32" t="s">
        <v>570</v>
      </c>
      <c r="F185" s="31">
        <v>1</v>
      </c>
      <c r="G185" s="32" t="s">
        <v>572</v>
      </c>
      <c r="H185" s="33"/>
    </row>
    <row r="186" ht="15" customHeight="1" spans="2:8">
      <c r="B186" s="34" t="s">
        <v>194</v>
      </c>
      <c r="C186" s="34" t="s">
        <v>573</v>
      </c>
      <c r="D186" s="34" t="s">
        <v>574</v>
      </c>
      <c r="E186" s="34" t="s">
        <v>6</v>
      </c>
      <c r="F186" s="34" t="s">
        <v>575</v>
      </c>
      <c r="G186" s="34" t="s">
        <v>576</v>
      </c>
      <c r="H186" s="35" t="s">
        <v>577</v>
      </c>
    </row>
    <row r="187" ht="20.45" customHeight="1" spans="2:8">
      <c r="B187" s="34">
        <v>1.00999999046326</v>
      </c>
      <c r="C187" s="36" t="s">
        <v>936</v>
      </c>
      <c r="D187" s="34" t="s">
        <v>389</v>
      </c>
      <c r="E187" s="34" t="s">
        <v>194</v>
      </c>
      <c r="F187" s="34">
        <v>1</v>
      </c>
      <c r="G187" s="75">
        <f>'Basic Rates'!E94</f>
        <v>0</v>
      </c>
      <c r="H187" s="38">
        <f t="shared" ref="H187:H193" si="6">G187*F187</f>
        <v>0</v>
      </c>
    </row>
    <row r="188" ht="20.45" customHeight="1" spans="2:8">
      <c r="B188" s="34">
        <v>1.01999998092651</v>
      </c>
      <c r="C188" s="36" t="s">
        <v>932</v>
      </c>
      <c r="D188" s="34" t="s">
        <v>316</v>
      </c>
      <c r="E188" s="34" t="s">
        <v>194</v>
      </c>
      <c r="F188" s="34">
        <v>2</v>
      </c>
      <c r="G188" s="75">
        <f>'Basic Rates'!$E$58</f>
        <v>0</v>
      </c>
      <c r="H188" s="38">
        <f t="shared" si="6"/>
        <v>0</v>
      </c>
    </row>
    <row r="189" ht="20.45" customHeight="1" spans="2:8">
      <c r="B189" s="34">
        <v>1.02999997138977</v>
      </c>
      <c r="C189" s="36" t="s">
        <v>926</v>
      </c>
      <c r="D189" s="34" t="s">
        <v>314</v>
      </c>
      <c r="E189" s="34" t="s">
        <v>194</v>
      </c>
      <c r="F189" s="34">
        <v>2</v>
      </c>
      <c r="G189" s="75">
        <f>'Basic Rates'!$E$57</f>
        <v>0</v>
      </c>
      <c r="H189" s="38">
        <f t="shared" si="6"/>
        <v>0</v>
      </c>
    </row>
    <row r="190" ht="20.45" customHeight="1" spans="2:8">
      <c r="B190" s="34">
        <v>1.03999996185303</v>
      </c>
      <c r="C190" s="36" t="s">
        <v>90</v>
      </c>
      <c r="D190" s="34" t="s">
        <v>237</v>
      </c>
      <c r="E190" s="34" t="s">
        <v>194</v>
      </c>
      <c r="F190" s="34">
        <v>4</v>
      </c>
      <c r="G190" s="75">
        <f>'Basic Rates'!$E$20</f>
        <v>7</v>
      </c>
      <c r="H190" s="38">
        <f t="shared" si="6"/>
        <v>28</v>
      </c>
    </row>
    <row r="191" ht="20.45" customHeight="1" spans="2:8">
      <c r="B191" s="34">
        <v>1.04999995231628</v>
      </c>
      <c r="C191" s="36" t="s">
        <v>163</v>
      </c>
      <c r="D191" s="34" t="s">
        <v>441</v>
      </c>
      <c r="E191" s="34" t="s">
        <v>927</v>
      </c>
      <c r="F191" s="34">
        <v>12</v>
      </c>
      <c r="G191" s="75">
        <f>'Basic Rates'!$E$120</f>
        <v>1.4</v>
      </c>
      <c r="H191" s="38">
        <f t="shared" si="6"/>
        <v>16.8</v>
      </c>
    </row>
    <row r="192" ht="24.95" customHeight="1" spans="2:8">
      <c r="B192" s="34">
        <v>1.05999994277954</v>
      </c>
      <c r="C192" s="36" t="s">
        <v>181</v>
      </c>
      <c r="D192" s="34" t="s">
        <v>182</v>
      </c>
      <c r="E192" s="457" t="s">
        <v>175</v>
      </c>
      <c r="F192" s="34">
        <v>0.125</v>
      </c>
      <c r="G192" s="75">
        <f>'Basic Rates'!$J$5</f>
        <v>3500</v>
      </c>
      <c r="H192" s="38">
        <f t="shared" si="6"/>
        <v>437.5</v>
      </c>
    </row>
    <row r="193" ht="24.95" customHeight="1" spans="2:8">
      <c r="B193" s="34">
        <v>1.07000005245209</v>
      </c>
      <c r="C193" s="36" t="s">
        <v>208</v>
      </c>
      <c r="D193" s="34" t="s">
        <v>209</v>
      </c>
      <c r="E193" s="457" t="s">
        <v>175</v>
      </c>
      <c r="F193" s="34">
        <v>0.125</v>
      </c>
      <c r="G193" s="75">
        <f>'Basic Rates'!$J$10</f>
        <v>2300</v>
      </c>
      <c r="H193" s="38">
        <f t="shared" si="6"/>
        <v>287.5</v>
      </c>
    </row>
    <row r="194" ht="24.95" customHeight="1" spans="2:8">
      <c r="B194" s="34">
        <v>1.08000016212463</v>
      </c>
      <c r="C194" s="36" t="s">
        <v>928</v>
      </c>
      <c r="D194" s="177"/>
      <c r="E194" s="40"/>
      <c r="F194" s="40"/>
      <c r="G194" s="178"/>
      <c r="H194" s="38">
        <f>(H193+H192)*5/100</f>
        <v>36.25</v>
      </c>
    </row>
    <row r="195" ht="20.45" customHeight="1" spans="2:8">
      <c r="B195" s="61"/>
      <c r="C195" s="61"/>
      <c r="D195" s="39" t="s">
        <v>579</v>
      </c>
      <c r="E195" s="40">
        <v>1</v>
      </c>
      <c r="F195" s="40" t="str">
        <f>G185</f>
        <v>No.</v>
      </c>
      <c r="G195" s="41"/>
      <c r="H195" s="38">
        <f>SUM(H187:H194)</f>
        <v>806.05</v>
      </c>
    </row>
    <row r="196" ht="20.45" customHeight="1" spans="2:8">
      <c r="B196" s="61"/>
      <c r="C196" s="61"/>
      <c r="D196" s="39" t="s">
        <v>580</v>
      </c>
      <c r="E196" s="40" t="str">
        <f>G185</f>
        <v>No.</v>
      </c>
      <c r="F196" s="40"/>
      <c r="G196" s="41"/>
      <c r="H196" s="38">
        <f>H195/F185</f>
        <v>806.05</v>
      </c>
    </row>
    <row r="197" s="4" customFormat="1" ht="15" customHeight="1" spans="1:11">
      <c r="A197" s="42"/>
      <c r="B197" s="43"/>
      <c r="C197" s="43"/>
      <c r="D197" s="44" t="s">
        <v>581</v>
      </c>
      <c r="E197" s="45"/>
      <c r="F197" s="45"/>
      <c r="G197" s="46" t="s">
        <v>933</v>
      </c>
      <c r="H197" s="79">
        <f>ROUND(H196,0)</f>
        <v>806</v>
      </c>
      <c r="K197" s="58"/>
    </row>
    <row r="200" s="2" customFormat="1" ht="29.25" customHeight="1" spans="1:9">
      <c r="A200" s="29" t="s">
        <v>937</v>
      </c>
      <c r="B200" s="29"/>
      <c r="C200" s="30" t="s">
        <v>938</v>
      </c>
      <c r="D200" s="30"/>
      <c r="E200" s="30"/>
      <c r="F200" s="30"/>
      <c r="G200" s="30"/>
      <c r="H200" s="30"/>
      <c r="I200" s="57"/>
    </row>
    <row r="201" s="3" customFormat="1" ht="18" customHeight="1" spans="4:8">
      <c r="D201" s="31"/>
      <c r="E201" s="32" t="s">
        <v>570</v>
      </c>
      <c r="F201" s="31">
        <v>1</v>
      </c>
      <c r="G201" s="32" t="s">
        <v>572</v>
      </c>
      <c r="H201" s="33"/>
    </row>
    <row r="202" ht="15" customHeight="1" spans="2:8">
      <c r="B202" s="34" t="s">
        <v>194</v>
      </c>
      <c r="C202" s="34" t="s">
        <v>573</v>
      </c>
      <c r="D202" s="34" t="s">
        <v>574</v>
      </c>
      <c r="E202" s="34" t="s">
        <v>6</v>
      </c>
      <c r="F202" s="34" t="s">
        <v>575</v>
      </c>
      <c r="G202" s="34" t="s">
        <v>576</v>
      </c>
      <c r="H202" s="35" t="s">
        <v>577</v>
      </c>
    </row>
    <row r="203" ht="20.45" customHeight="1" spans="2:8">
      <c r="B203" s="34">
        <v>1.00999999046326</v>
      </c>
      <c r="C203" s="36" t="s">
        <v>939</v>
      </c>
      <c r="D203" s="34" t="s">
        <v>381</v>
      </c>
      <c r="E203" s="34" t="s">
        <v>194</v>
      </c>
      <c r="F203" s="34">
        <v>1</v>
      </c>
      <c r="G203" s="75">
        <f>'Basic Rates'!E90</f>
        <v>0</v>
      </c>
      <c r="H203" s="38">
        <f>G203*F203</f>
        <v>0</v>
      </c>
    </row>
    <row r="204" ht="20.45" customHeight="1" spans="2:8">
      <c r="B204" s="34">
        <v>1.04999995231628</v>
      </c>
      <c r="C204" s="36" t="s">
        <v>163</v>
      </c>
      <c r="D204" s="34" t="s">
        <v>441</v>
      </c>
      <c r="E204" s="34" t="s">
        <v>927</v>
      </c>
      <c r="F204" s="34">
        <v>12</v>
      </c>
      <c r="G204" s="75">
        <f>'Basic Rates'!$E$120</f>
        <v>1.4</v>
      </c>
      <c r="H204" s="38">
        <f>G204*F204</f>
        <v>16.8</v>
      </c>
    </row>
    <row r="205" ht="24.95" customHeight="1" spans="2:8">
      <c r="B205" s="34">
        <v>1.05999994277954</v>
      </c>
      <c r="C205" s="36" t="s">
        <v>181</v>
      </c>
      <c r="D205" s="34" t="s">
        <v>182</v>
      </c>
      <c r="E205" s="457" t="s">
        <v>175</v>
      </c>
      <c r="F205" s="34">
        <v>0.0625</v>
      </c>
      <c r="G205" s="75">
        <f>'Basic Rates'!$J$5</f>
        <v>3500</v>
      </c>
      <c r="H205" s="38">
        <f>G205*F205</f>
        <v>218.75</v>
      </c>
    </row>
    <row r="206" ht="24.95" customHeight="1" spans="2:8">
      <c r="B206" s="34">
        <v>1.07000005245209</v>
      </c>
      <c r="C206" s="36" t="s">
        <v>208</v>
      </c>
      <c r="D206" s="34" t="s">
        <v>209</v>
      </c>
      <c r="E206" s="457" t="s">
        <v>175</v>
      </c>
      <c r="F206" s="34">
        <v>0.0625</v>
      </c>
      <c r="G206" s="75">
        <f>'Basic Rates'!$J$10</f>
        <v>2300</v>
      </c>
      <c r="H206" s="38">
        <f>G206*F206</f>
        <v>143.75</v>
      </c>
    </row>
    <row r="207" ht="24.95" customHeight="1" spans="2:8">
      <c r="B207" s="34">
        <v>1.08000016212463</v>
      </c>
      <c r="C207" s="36" t="s">
        <v>928</v>
      </c>
      <c r="D207" s="177"/>
      <c r="E207" s="40"/>
      <c r="F207" s="40"/>
      <c r="G207" s="178"/>
      <c r="H207" s="38">
        <f>(H206+H205)*5/100</f>
        <v>18.125</v>
      </c>
    </row>
    <row r="208" ht="20.45" customHeight="1" spans="2:8">
      <c r="B208" s="61"/>
      <c r="C208" s="61"/>
      <c r="D208" s="39" t="s">
        <v>579</v>
      </c>
      <c r="E208" s="40">
        <v>1</v>
      </c>
      <c r="F208" s="40" t="str">
        <f>G201</f>
        <v>No.</v>
      </c>
      <c r="G208" s="41"/>
      <c r="H208" s="38">
        <f>SUM(H203:H207)</f>
        <v>397.425</v>
      </c>
    </row>
    <row r="209" ht="20.45" customHeight="1" spans="2:8">
      <c r="B209" s="61"/>
      <c r="C209" s="61"/>
      <c r="D209" s="39" t="s">
        <v>580</v>
      </c>
      <c r="E209" s="40" t="str">
        <f>G201</f>
        <v>No.</v>
      </c>
      <c r="F209" s="40"/>
      <c r="G209" s="41"/>
      <c r="H209" s="38">
        <f>H208/F201</f>
        <v>397.425</v>
      </c>
    </row>
    <row r="210" s="4" customFormat="1" ht="15" customHeight="1" spans="1:11">
      <c r="A210" s="42"/>
      <c r="B210" s="43"/>
      <c r="C210" s="43"/>
      <c r="D210" s="44" t="s">
        <v>581</v>
      </c>
      <c r="E210" s="45"/>
      <c r="F210" s="45"/>
      <c r="G210" s="46" t="s">
        <v>933</v>
      </c>
      <c r="H210" s="79">
        <f>ROUND(H209,0)</f>
        <v>397</v>
      </c>
      <c r="K210" s="58"/>
    </row>
    <row r="213" s="2" customFormat="1" ht="29.25" customHeight="1" spans="1:9">
      <c r="A213" s="29" t="s">
        <v>940</v>
      </c>
      <c r="B213" s="29"/>
      <c r="C213" s="30" t="s">
        <v>941</v>
      </c>
      <c r="D213" s="30"/>
      <c r="E213" s="30"/>
      <c r="F213" s="30"/>
      <c r="G213" s="30"/>
      <c r="H213" s="30"/>
      <c r="I213" s="57"/>
    </row>
    <row r="214" s="3" customFormat="1" ht="18" customHeight="1" spans="4:8">
      <c r="D214" s="31"/>
      <c r="E214" s="32" t="s">
        <v>570</v>
      </c>
      <c r="F214" s="31">
        <v>24</v>
      </c>
      <c r="G214" s="32" t="s">
        <v>900</v>
      </c>
      <c r="H214" s="33"/>
    </row>
    <row r="215" ht="15" customHeight="1" spans="2:8">
      <c r="B215" s="34" t="s">
        <v>194</v>
      </c>
      <c r="C215" s="34" t="s">
        <v>573</v>
      </c>
      <c r="D215" s="34" t="s">
        <v>574</v>
      </c>
      <c r="E215" s="34" t="s">
        <v>6</v>
      </c>
      <c r="F215" s="34" t="s">
        <v>575</v>
      </c>
      <c r="G215" s="34" t="s">
        <v>576</v>
      </c>
      <c r="H215" s="35" t="s">
        <v>577</v>
      </c>
    </row>
    <row r="216" ht="20.45" customHeight="1" spans="2:8">
      <c r="B216" s="34">
        <v>1.00999999046326</v>
      </c>
      <c r="C216" s="36" t="s">
        <v>942</v>
      </c>
      <c r="D216" s="34" t="s">
        <v>363</v>
      </c>
      <c r="E216" s="34" t="s">
        <v>194</v>
      </c>
      <c r="F216" s="34">
        <v>2</v>
      </c>
      <c r="G216" s="75">
        <f>'Basic Rates'!E81</f>
        <v>0</v>
      </c>
      <c r="H216" s="38">
        <f t="shared" ref="H216:H222" si="7">G216*F216</f>
        <v>0</v>
      </c>
    </row>
    <row r="217" ht="20.45" customHeight="1" spans="2:8">
      <c r="B217" s="34">
        <v>1.01999998092651</v>
      </c>
      <c r="C217" s="36" t="s">
        <v>943</v>
      </c>
      <c r="D217" s="34" t="s">
        <v>387</v>
      </c>
      <c r="E217" s="34" t="s">
        <v>194</v>
      </c>
      <c r="F217" s="34">
        <v>1</v>
      </c>
      <c r="G217" s="75">
        <f>'Basic Rates'!E93</f>
        <v>0</v>
      </c>
      <c r="H217" s="38">
        <f t="shared" si="7"/>
        <v>0</v>
      </c>
    </row>
    <row r="218" ht="20.45" customHeight="1" spans="2:8">
      <c r="B218" s="34">
        <v>1.02999997138977</v>
      </c>
      <c r="C218" s="36" t="s">
        <v>944</v>
      </c>
      <c r="D218" s="34" t="s">
        <v>415</v>
      </c>
      <c r="E218" s="34" t="s">
        <v>194</v>
      </c>
      <c r="F218" s="34">
        <v>4</v>
      </c>
      <c r="G218" s="75">
        <f>'Basic Rates'!E107</f>
        <v>0</v>
      </c>
      <c r="H218" s="38">
        <f t="shared" si="7"/>
        <v>0</v>
      </c>
    </row>
    <row r="219" ht="20.45" customHeight="1" spans="2:8">
      <c r="B219" s="34">
        <v>1.03999996185303</v>
      </c>
      <c r="C219" s="36" t="s">
        <v>945</v>
      </c>
      <c r="D219" s="34" t="s">
        <v>231</v>
      </c>
      <c r="E219" s="34" t="s">
        <v>194</v>
      </c>
      <c r="F219" s="34">
        <v>8</v>
      </c>
      <c r="G219" s="75">
        <f>'Basic Rates'!E17</f>
        <v>2.5</v>
      </c>
      <c r="H219" s="38">
        <f t="shared" si="7"/>
        <v>20</v>
      </c>
    </row>
    <row r="220" ht="20.45" customHeight="1" spans="2:8">
      <c r="B220" s="34">
        <v>1.04999995231628</v>
      </c>
      <c r="C220" s="36" t="s">
        <v>163</v>
      </c>
      <c r="D220" s="34" t="s">
        <v>441</v>
      </c>
      <c r="E220" s="34" t="s">
        <v>927</v>
      </c>
      <c r="F220" s="34">
        <v>30</v>
      </c>
      <c r="G220" s="75">
        <f>'Basic Rates'!$E$120</f>
        <v>1.4</v>
      </c>
      <c r="H220" s="38">
        <f t="shared" si="7"/>
        <v>42</v>
      </c>
    </row>
    <row r="221" ht="24.95" customHeight="1" spans="2:8">
      <c r="B221" s="34">
        <v>1.05999994277954</v>
      </c>
      <c r="C221" s="36" t="s">
        <v>181</v>
      </c>
      <c r="D221" s="34" t="s">
        <v>182</v>
      </c>
      <c r="E221" s="457" t="s">
        <v>175</v>
      </c>
      <c r="F221" s="68">
        <f>1/3</f>
        <v>0.333333333333333</v>
      </c>
      <c r="G221" s="75">
        <f>'Basic Rates'!$J$5</f>
        <v>3500</v>
      </c>
      <c r="H221" s="38">
        <f t="shared" si="7"/>
        <v>1166.66666666667</v>
      </c>
    </row>
    <row r="222" ht="24.95" customHeight="1" spans="2:8">
      <c r="B222" s="34">
        <v>1.07000005245209</v>
      </c>
      <c r="C222" s="36" t="s">
        <v>208</v>
      </c>
      <c r="D222" s="34" t="s">
        <v>209</v>
      </c>
      <c r="E222" s="457" t="s">
        <v>175</v>
      </c>
      <c r="F222" s="68">
        <f>1/3</f>
        <v>0.333333333333333</v>
      </c>
      <c r="G222" s="75">
        <f>'Basic Rates'!$J$10</f>
        <v>2300</v>
      </c>
      <c r="H222" s="38">
        <f t="shared" si="7"/>
        <v>766.666666666667</v>
      </c>
    </row>
    <row r="223" ht="24.95" customHeight="1" spans="2:8">
      <c r="B223" s="34">
        <v>1.08000016212463</v>
      </c>
      <c r="C223" s="36" t="s">
        <v>928</v>
      </c>
      <c r="D223" s="177"/>
      <c r="E223" s="40"/>
      <c r="F223" s="40"/>
      <c r="G223" s="178"/>
      <c r="H223" s="38">
        <f>(H222+H221)*5/100</f>
        <v>96.6666666666666</v>
      </c>
    </row>
    <row r="224" ht="20.45" customHeight="1" spans="2:8">
      <c r="B224" s="61"/>
      <c r="C224" s="61"/>
      <c r="D224" s="39" t="s">
        <v>579</v>
      </c>
      <c r="E224" s="40">
        <v>24</v>
      </c>
      <c r="F224" s="40" t="str">
        <f>$G$139</f>
        <v>L.ft.</v>
      </c>
      <c r="G224" s="41"/>
      <c r="H224" s="38">
        <f>SUM(H216:H223)</f>
        <v>2092</v>
      </c>
    </row>
    <row r="225" ht="20.45" customHeight="1" spans="2:8">
      <c r="B225" s="61"/>
      <c r="C225" s="61"/>
      <c r="D225" s="39" t="s">
        <v>580</v>
      </c>
      <c r="E225" s="40" t="str">
        <f>$G$139</f>
        <v>L.ft.</v>
      </c>
      <c r="F225" s="40"/>
      <c r="G225" s="41"/>
      <c r="H225" s="38">
        <f>H224/F214</f>
        <v>87.1666666666666</v>
      </c>
    </row>
    <row r="226" s="4" customFormat="1" ht="15" customHeight="1" spans="1:11">
      <c r="A226" s="42"/>
      <c r="B226" s="43"/>
      <c r="C226" s="43"/>
      <c r="D226" s="44" t="s">
        <v>581</v>
      </c>
      <c r="E226" s="45"/>
      <c r="F226" s="45"/>
      <c r="G226" s="46" t="s">
        <v>929</v>
      </c>
      <c r="H226" s="79">
        <f>ROUND(H225,0)</f>
        <v>87</v>
      </c>
      <c r="K226" s="58"/>
    </row>
    <row r="229" s="2" customFormat="1" ht="29.25" customHeight="1" spans="1:9">
      <c r="A229" s="29" t="s">
        <v>946</v>
      </c>
      <c r="B229" s="29"/>
      <c r="C229" s="30" t="s">
        <v>947</v>
      </c>
      <c r="D229" s="30"/>
      <c r="E229" s="30"/>
      <c r="F229" s="30"/>
      <c r="G229" s="30"/>
      <c r="H229" s="30"/>
      <c r="I229" s="57"/>
    </row>
    <row r="230" s="3" customFormat="1" ht="18" customHeight="1" spans="4:8">
      <c r="D230" s="31"/>
      <c r="E230" s="32" t="s">
        <v>570</v>
      </c>
      <c r="F230" s="31">
        <v>1</v>
      </c>
      <c r="G230" s="32" t="s">
        <v>572</v>
      </c>
      <c r="H230" s="33"/>
    </row>
    <row r="231" ht="15" customHeight="1" spans="2:8">
      <c r="B231" s="34" t="s">
        <v>194</v>
      </c>
      <c r="C231" s="34" t="s">
        <v>573</v>
      </c>
      <c r="D231" s="34" t="s">
        <v>574</v>
      </c>
      <c r="E231" s="34" t="s">
        <v>6</v>
      </c>
      <c r="F231" s="34" t="s">
        <v>575</v>
      </c>
      <c r="G231" s="34" t="s">
        <v>576</v>
      </c>
      <c r="H231" s="35" t="s">
        <v>577</v>
      </c>
    </row>
    <row r="232" ht="20.45" customHeight="1" spans="2:8">
      <c r="B232" s="34">
        <v>1.00999999046326</v>
      </c>
      <c r="C232" s="36" t="s">
        <v>948</v>
      </c>
      <c r="D232" s="34" t="s">
        <v>365</v>
      </c>
      <c r="E232" s="34" t="s">
        <v>194</v>
      </c>
      <c r="F232" s="34">
        <v>1</v>
      </c>
      <c r="G232" s="75">
        <f>'Basic Rates'!E82</f>
        <v>0</v>
      </c>
      <c r="H232" s="38">
        <f>G232*F232</f>
        <v>0</v>
      </c>
    </row>
    <row r="233" ht="20.45" customHeight="1" spans="2:8">
      <c r="B233" s="34">
        <v>1.04999995231628</v>
      </c>
      <c r="C233" s="36" t="s">
        <v>163</v>
      </c>
      <c r="D233" s="34" t="s">
        <v>441</v>
      </c>
      <c r="E233" s="34" t="s">
        <v>927</v>
      </c>
      <c r="F233" s="34">
        <v>32</v>
      </c>
      <c r="G233" s="75">
        <f>'Basic Rates'!$E$120</f>
        <v>1.4</v>
      </c>
      <c r="H233" s="38">
        <f>G233*F233</f>
        <v>44.8</v>
      </c>
    </row>
    <row r="234" ht="24.95" customHeight="1" spans="2:8">
      <c r="B234" s="34">
        <v>1.05999994277954</v>
      </c>
      <c r="C234" s="36" t="s">
        <v>181</v>
      </c>
      <c r="D234" s="34" t="s">
        <v>182</v>
      </c>
      <c r="E234" s="457" t="s">
        <v>175</v>
      </c>
      <c r="F234" s="34">
        <v>0.0625</v>
      </c>
      <c r="G234" s="75">
        <f>'Basic Rates'!$J$5</f>
        <v>3500</v>
      </c>
      <c r="H234" s="38">
        <f>G234*F234</f>
        <v>218.75</v>
      </c>
    </row>
    <row r="235" ht="24.95" customHeight="1" spans="2:8">
      <c r="B235" s="34">
        <v>1.07000005245209</v>
      </c>
      <c r="C235" s="36" t="s">
        <v>208</v>
      </c>
      <c r="D235" s="34" t="s">
        <v>209</v>
      </c>
      <c r="E235" s="457" t="s">
        <v>175</v>
      </c>
      <c r="F235" s="34">
        <v>0.0625</v>
      </c>
      <c r="G235" s="75">
        <f>'Basic Rates'!$J$10</f>
        <v>2300</v>
      </c>
      <c r="H235" s="38">
        <f>G235*F235</f>
        <v>143.75</v>
      </c>
    </row>
    <row r="236" ht="24.95" customHeight="1" spans="2:8">
      <c r="B236" s="34">
        <v>1.08000016212463</v>
      </c>
      <c r="C236" s="36" t="s">
        <v>928</v>
      </c>
      <c r="D236" s="177"/>
      <c r="E236" s="40"/>
      <c r="F236" s="40"/>
      <c r="G236" s="178"/>
      <c r="H236" s="38">
        <f>(H235+H234)*5/100</f>
        <v>18.125</v>
      </c>
    </row>
    <row r="237" ht="20.45" customHeight="1" spans="2:8">
      <c r="B237" s="61"/>
      <c r="C237" s="61"/>
      <c r="D237" s="39" t="s">
        <v>579</v>
      </c>
      <c r="E237" s="40">
        <v>1</v>
      </c>
      <c r="F237" s="40" t="str">
        <f>G230</f>
        <v>No.</v>
      </c>
      <c r="G237" s="41"/>
      <c r="H237" s="38">
        <f>SUM(H232:H236)</f>
        <v>425.425</v>
      </c>
    </row>
    <row r="238" ht="20.45" customHeight="1" spans="2:8">
      <c r="B238" s="61"/>
      <c r="C238" s="61"/>
      <c r="D238" s="39" t="s">
        <v>580</v>
      </c>
      <c r="E238" s="40" t="str">
        <f>G230</f>
        <v>No.</v>
      </c>
      <c r="F238" s="40"/>
      <c r="G238" s="41"/>
      <c r="H238" s="38">
        <f>H237/F230</f>
        <v>425.425</v>
      </c>
    </row>
    <row r="239" s="4" customFormat="1" ht="15" customHeight="1" spans="1:11">
      <c r="A239" s="42"/>
      <c r="B239" s="43"/>
      <c r="C239" s="43"/>
      <c r="D239" s="44" t="s">
        <v>581</v>
      </c>
      <c r="E239" s="45"/>
      <c r="F239" s="45"/>
      <c r="G239" s="46" t="s">
        <v>933</v>
      </c>
      <c r="H239" s="79">
        <f>ROUND(H238,0)</f>
        <v>425</v>
      </c>
      <c r="K239" s="58"/>
    </row>
    <row r="242" s="2" customFormat="1" ht="29.25" customHeight="1" spans="1:9">
      <c r="A242" s="29" t="s">
        <v>949</v>
      </c>
      <c r="B242" s="29"/>
      <c r="C242" s="30" t="s">
        <v>950</v>
      </c>
      <c r="D242" s="30"/>
      <c r="E242" s="30"/>
      <c r="F242" s="30"/>
      <c r="G242" s="30"/>
      <c r="H242" s="30"/>
      <c r="I242" s="57"/>
    </row>
    <row r="243" s="3" customFormat="1" ht="18" customHeight="1" spans="4:8">
      <c r="D243" s="31"/>
      <c r="E243" s="32" t="s">
        <v>570</v>
      </c>
      <c r="F243" s="31">
        <v>1</v>
      </c>
      <c r="G243" s="32" t="s">
        <v>572</v>
      </c>
      <c r="H243" s="33"/>
    </row>
    <row r="244" ht="15" customHeight="1" spans="2:8">
      <c r="B244" s="34" t="s">
        <v>194</v>
      </c>
      <c r="C244" s="34" t="s">
        <v>573</v>
      </c>
      <c r="D244" s="34" t="s">
        <v>574</v>
      </c>
      <c r="E244" s="34" t="s">
        <v>6</v>
      </c>
      <c r="F244" s="34" t="s">
        <v>575</v>
      </c>
      <c r="G244" s="34" t="s">
        <v>576</v>
      </c>
      <c r="H244" s="35" t="s">
        <v>577</v>
      </c>
    </row>
    <row r="245" ht="20.45" customHeight="1" spans="2:8">
      <c r="B245" s="34">
        <v>1.00999999046326</v>
      </c>
      <c r="C245" s="36" t="s">
        <v>951</v>
      </c>
      <c r="D245" s="34" t="s">
        <v>405</v>
      </c>
      <c r="E245" s="34" t="s">
        <v>194</v>
      </c>
      <c r="F245" s="34">
        <v>1</v>
      </c>
      <c r="G245" s="75">
        <f>'Basic Rates'!E102</f>
        <v>0</v>
      </c>
      <c r="H245" s="38">
        <f>G245*F245</f>
        <v>0</v>
      </c>
    </row>
    <row r="246" ht="20.45" customHeight="1" spans="2:8">
      <c r="B246" s="34">
        <v>1.04999995231628</v>
      </c>
      <c r="C246" s="36" t="s">
        <v>163</v>
      </c>
      <c r="D246" s="34" t="s">
        <v>441</v>
      </c>
      <c r="E246" s="34" t="s">
        <v>927</v>
      </c>
      <c r="F246" s="34">
        <v>15</v>
      </c>
      <c r="G246" s="75">
        <f>'Basic Rates'!$E$120</f>
        <v>1.4</v>
      </c>
      <c r="H246" s="38">
        <f>G246*F246</f>
        <v>21</v>
      </c>
    </row>
    <row r="247" ht="24.95" customHeight="1" spans="2:8">
      <c r="B247" s="34">
        <v>1.05999994277954</v>
      </c>
      <c r="C247" s="36" t="s">
        <v>181</v>
      </c>
      <c r="D247" s="34" t="s">
        <v>182</v>
      </c>
      <c r="E247" s="457" t="s">
        <v>175</v>
      </c>
      <c r="F247" s="34">
        <v>0.0625</v>
      </c>
      <c r="G247" s="75">
        <f>'Basic Rates'!$J$5</f>
        <v>3500</v>
      </c>
      <c r="H247" s="38">
        <f>G247*F247</f>
        <v>218.75</v>
      </c>
    </row>
    <row r="248" ht="24.95" customHeight="1" spans="2:8">
      <c r="B248" s="34">
        <v>1.07000005245209</v>
      </c>
      <c r="C248" s="36" t="s">
        <v>208</v>
      </c>
      <c r="D248" s="34" t="s">
        <v>209</v>
      </c>
      <c r="E248" s="457" t="s">
        <v>175</v>
      </c>
      <c r="F248" s="34">
        <v>0.0625</v>
      </c>
      <c r="G248" s="75">
        <f>'Basic Rates'!$J$10</f>
        <v>2300</v>
      </c>
      <c r="H248" s="38">
        <f>G248*F248</f>
        <v>143.75</v>
      </c>
    </row>
    <row r="249" ht="29.25" customHeight="1" spans="2:8">
      <c r="B249" s="34">
        <v>1.08000016212463</v>
      </c>
      <c r="C249" s="36" t="s">
        <v>928</v>
      </c>
      <c r="D249" s="177"/>
      <c r="E249" s="40"/>
      <c r="F249" s="40"/>
      <c r="G249" s="178"/>
      <c r="H249" s="38">
        <f>(H248+H247)*5/100</f>
        <v>18.125</v>
      </c>
    </row>
    <row r="250" ht="20.45" customHeight="1" spans="2:8">
      <c r="B250" s="61"/>
      <c r="C250" s="61"/>
      <c r="D250" s="39" t="s">
        <v>579</v>
      </c>
      <c r="E250" s="40">
        <v>1</v>
      </c>
      <c r="F250" s="40" t="str">
        <f>G243</f>
        <v>No.</v>
      </c>
      <c r="G250" s="41"/>
      <c r="H250" s="38">
        <f>SUM(H245:H249)</f>
        <v>401.625</v>
      </c>
    </row>
    <row r="251" ht="20.45" customHeight="1" spans="2:8">
      <c r="B251" s="61"/>
      <c r="C251" s="61"/>
      <c r="D251" s="39" t="s">
        <v>580</v>
      </c>
      <c r="E251" s="40" t="str">
        <f>G243</f>
        <v>No.</v>
      </c>
      <c r="F251" s="40"/>
      <c r="G251" s="41"/>
      <c r="H251" s="38">
        <f>H250/F243</f>
        <v>401.625</v>
      </c>
    </row>
    <row r="252" s="4" customFormat="1" ht="15" customHeight="1" spans="1:11">
      <c r="A252" s="42"/>
      <c r="B252" s="43"/>
      <c r="C252" s="43"/>
      <c r="D252" s="44" t="s">
        <v>581</v>
      </c>
      <c r="E252" s="45"/>
      <c r="F252" s="45"/>
      <c r="G252" s="46" t="s">
        <v>933</v>
      </c>
      <c r="H252" s="79">
        <f>ROUND(H251,0)</f>
        <v>402</v>
      </c>
      <c r="K252" s="58"/>
    </row>
  </sheetData>
  <mergeCells count="41">
    <mergeCell ref="A2:H2"/>
    <mergeCell ref="A7:H7"/>
    <mergeCell ref="A9:B9"/>
    <mergeCell ref="C9:H9"/>
    <mergeCell ref="A24:B24"/>
    <mergeCell ref="C24:H24"/>
    <mergeCell ref="A34:B34"/>
    <mergeCell ref="C34:H34"/>
    <mergeCell ref="A45:B45"/>
    <mergeCell ref="C45:H45"/>
    <mergeCell ref="A56:B56"/>
    <mergeCell ref="C56:H56"/>
    <mergeCell ref="A65:B65"/>
    <mergeCell ref="C65:H65"/>
    <mergeCell ref="A76:B76"/>
    <mergeCell ref="C76:H76"/>
    <mergeCell ref="A90:B90"/>
    <mergeCell ref="C90:H90"/>
    <mergeCell ref="J90:K90"/>
    <mergeCell ref="A103:B103"/>
    <mergeCell ref="C103:H103"/>
    <mergeCell ref="J103:K103"/>
    <mergeCell ref="A116:H116"/>
    <mergeCell ref="A118:B118"/>
    <mergeCell ref="C118:H118"/>
    <mergeCell ref="A138:B138"/>
    <mergeCell ref="C138:H138"/>
    <mergeCell ref="A152:B152"/>
    <mergeCell ref="C152:H152"/>
    <mergeCell ref="A168:B168"/>
    <mergeCell ref="C168:H168"/>
    <mergeCell ref="A184:B184"/>
    <mergeCell ref="C184:H184"/>
    <mergeCell ref="A200:B200"/>
    <mergeCell ref="C200:H200"/>
    <mergeCell ref="A213:B213"/>
    <mergeCell ref="C213:H213"/>
    <mergeCell ref="A229:B229"/>
    <mergeCell ref="C229:H229"/>
    <mergeCell ref="A242:B242"/>
    <mergeCell ref="C242:H242"/>
  </mergeCells>
  <hyperlinks>
    <hyperlink ref="C4" location="'10'!I15" display="Roof Frame &amp; Roof Covering"/>
    <hyperlink ref="C5" location="'10'!I125" display="Roof Plumbing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indexed="45"/>
  </sheetPr>
  <dimension ref="A2:K213"/>
  <sheetViews>
    <sheetView topLeftCell="A133" workbookViewId="0">
      <selection activeCell="G13" sqref="G13"/>
    </sheetView>
  </sheetViews>
  <sheetFormatPr defaultColWidth="9" defaultRowHeight="10.5"/>
  <cols>
    <col min="1" max="1" width="1.71428571428571" style="89" customWidth="1"/>
    <col min="2" max="2" width="5.71428571428571" style="89" customWidth="1"/>
    <col min="3" max="3" width="34.7142857142857" style="89" customWidth="1"/>
    <col min="4" max="4" width="7.57142857142857" style="90" customWidth="1"/>
    <col min="5" max="5" width="7.42857142857143" style="90" customWidth="1"/>
    <col min="6" max="6" width="7.14285714285714" style="90" customWidth="1"/>
    <col min="7" max="7" width="9.14285714285714" style="91"/>
    <col min="8" max="8" width="11.8571428571429" style="92" customWidth="1"/>
    <col min="9" max="16384" width="9.14285714285714" style="89"/>
  </cols>
  <sheetData>
    <row r="2" s="129" customFormat="1" ht="20.1" customHeight="1" spans="1:9">
      <c r="A2" s="163" t="s">
        <v>952</v>
      </c>
      <c r="B2" s="163"/>
      <c r="C2" s="163"/>
      <c r="D2" s="163"/>
      <c r="E2" s="163"/>
      <c r="F2" s="163"/>
      <c r="G2" s="163"/>
      <c r="H2" s="163"/>
      <c r="I2" s="54"/>
    </row>
    <row r="3" ht="20.25" customHeight="1"/>
    <row r="4" s="129" customFormat="1" ht="20.25" customHeight="1" spans="2:8">
      <c r="B4" s="164" t="s">
        <v>564</v>
      </c>
      <c r="C4" s="165" t="s">
        <v>953</v>
      </c>
      <c r="D4" s="166"/>
      <c r="E4" s="166"/>
      <c r="F4" s="166"/>
      <c r="G4" s="167"/>
      <c r="H4" s="168"/>
    </row>
    <row r="5" s="129" customFormat="1" ht="20.25" customHeight="1" spans="2:8">
      <c r="B5" s="164" t="s">
        <v>566</v>
      </c>
      <c r="C5" s="165" t="s">
        <v>954</v>
      </c>
      <c r="D5" s="166"/>
      <c r="E5" s="166"/>
      <c r="F5" s="166"/>
      <c r="G5" s="167"/>
      <c r="H5" s="168"/>
    </row>
    <row r="6" s="162" customFormat="1" ht="20.25" customHeight="1" spans="4:8">
      <c r="D6" s="169"/>
      <c r="E6" s="169"/>
      <c r="F6" s="169"/>
      <c r="G6" s="170"/>
      <c r="H6" s="171"/>
    </row>
    <row r="7" ht="20.25" customHeight="1"/>
    <row r="8" s="1" customFormat="1" ht="20.25" customHeight="1" spans="1:9">
      <c r="A8" s="59" t="s">
        <v>953</v>
      </c>
      <c r="B8" s="22"/>
      <c r="C8" s="22"/>
      <c r="D8" s="22"/>
      <c r="E8" s="22"/>
      <c r="F8" s="22"/>
      <c r="G8" s="22"/>
      <c r="H8" s="60"/>
      <c r="I8" s="56"/>
    </row>
    <row r="9" ht="20.25" customHeight="1"/>
    <row r="10" s="83" customFormat="1" ht="35.1" customHeight="1" spans="1:9">
      <c r="A10" s="105" t="s">
        <v>955</v>
      </c>
      <c r="B10" s="105"/>
      <c r="C10" s="106" t="s">
        <v>956</v>
      </c>
      <c r="D10" s="106"/>
      <c r="E10" s="106"/>
      <c r="F10" s="106"/>
      <c r="G10" s="106"/>
      <c r="H10" s="106"/>
      <c r="I10" s="128"/>
    </row>
    <row r="11" s="84" customFormat="1" ht="18" customHeight="1" spans="4:8">
      <c r="D11" s="107"/>
      <c r="E11" s="108" t="s">
        <v>570</v>
      </c>
      <c r="F11" s="107">
        <v>22.75</v>
      </c>
      <c r="G11" s="108" t="s">
        <v>187</v>
      </c>
      <c r="H11" s="109"/>
    </row>
    <row r="12" s="85" customFormat="1" ht="15" customHeight="1" spans="2:8">
      <c r="B12" s="110" t="s">
        <v>194</v>
      </c>
      <c r="C12" s="110" t="s">
        <v>573</v>
      </c>
      <c r="D12" s="110" t="s">
        <v>574</v>
      </c>
      <c r="E12" s="110" t="s">
        <v>6</v>
      </c>
      <c r="F12" s="110" t="s">
        <v>575</v>
      </c>
      <c r="G12" s="110" t="s">
        <v>576</v>
      </c>
      <c r="H12" s="111" t="s">
        <v>577</v>
      </c>
    </row>
    <row r="13" ht="20.45" customHeight="1" spans="2:8">
      <c r="B13" s="112">
        <v>1.00999999046326</v>
      </c>
      <c r="C13" s="113" t="s">
        <v>957</v>
      </c>
      <c r="D13" s="112" t="s">
        <v>485</v>
      </c>
      <c r="E13" s="455" t="s">
        <v>481</v>
      </c>
      <c r="F13" s="112">
        <v>1.5</v>
      </c>
      <c r="G13" s="114">
        <f>'Basic Rates'!$E$141</f>
        <v>1300</v>
      </c>
      <c r="H13" s="115">
        <f>G13*F13</f>
        <v>1950</v>
      </c>
    </row>
    <row r="14" ht="20.45" customHeight="1" spans="2:8">
      <c r="B14" s="112">
        <v>1.01999998092651</v>
      </c>
      <c r="C14" s="113" t="s">
        <v>443</v>
      </c>
      <c r="D14" s="112" t="s">
        <v>444</v>
      </c>
      <c r="E14" s="455" t="s">
        <v>194</v>
      </c>
      <c r="F14" s="112">
        <v>2</v>
      </c>
      <c r="G14" s="114">
        <f>'Basic Rates'!$E$121</f>
        <v>15</v>
      </c>
      <c r="H14" s="115">
        <f t="shared" ref="H14:H21" si="0">G14*F14</f>
        <v>30</v>
      </c>
    </row>
    <row r="15" ht="20.45" customHeight="1" spans="2:8">
      <c r="B15" s="112">
        <v>1.02999997138977</v>
      </c>
      <c r="C15" s="113" t="s">
        <v>293</v>
      </c>
      <c r="D15" s="112" t="s">
        <v>294</v>
      </c>
      <c r="E15" s="112" t="s">
        <v>194</v>
      </c>
      <c r="F15" s="112">
        <v>6</v>
      </c>
      <c r="G15" s="114">
        <f>'Basic Rates'!$E$48</f>
        <v>1.5</v>
      </c>
      <c r="H15" s="115">
        <f t="shared" si="0"/>
        <v>9</v>
      </c>
    </row>
    <row r="16" ht="20.45" customHeight="1" spans="2:8">
      <c r="B16" s="112">
        <v>1.03999996185303</v>
      </c>
      <c r="C16" s="113" t="s">
        <v>958</v>
      </c>
      <c r="D16" s="112" t="s">
        <v>239</v>
      </c>
      <c r="E16" s="112" t="s">
        <v>194</v>
      </c>
      <c r="F16" s="112">
        <v>6</v>
      </c>
      <c r="G16" s="114">
        <f>'Basic Rates'!$E$21</f>
        <v>7.5</v>
      </c>
      <c r="H16" s="115">
        <f t="shared" si="0"/>
        <v>45</v>
      </c>
    </row>
    <row r="17" ht="20.45" customHeight="1" spans="2:8">
      <c r="B17" s="112">
        <v>1.04999995231628</v>
      </c>
      <c r="C17" s="113" t="s">
        <v>959</v>
      </c>
      <c r="D17" s="112" t="s">
        <v>341</v>
      </c>
      <c r="E17" s="455" t="s">
        <v>194</v>
      </c>
      <c r="F17" s="112">
        <v>2</v>
      </c>
      <c r="G17" s="114">
        <f>'Basic Rates'!$E$70</f>
        <v>6</v>
      </c>
      <c r="H17" s="115">
        <f t="shared" si="0"/>
        <v>12</v>
      </c>
    </row>
    <row r="18" ht="24.95" customHeight="1" spans="2:8">
      <c r="B18" s="112">
        <v>1.05999994277954</v>
      </c>
      <c r="C18" s="113" t="s">
        <v>960</v>
      </c>
      <c r="D18" s="112" t="s">
        <v>487</v>
      </c>
      <c r="E18" s="455" t="s">
        <v>187</v>
      </c>
      <c r="F18" s="112">
        <v>14</v>
      </c>
      <c r="G18" s="114">
        <f>'Basic Rates'!$E$142</f>
        <v>140</v>
      </c>
      <c r="H18" s="115">
        <f t="shared" si="0"/>
        <v>1960</v>
      </c>
    </row>
    <row r="19" ht="24.95" customHeight="1" spans="2:8">
      <c r="B19" s="112">
        <v>1.07000005245209</v>
      </c>
      <c r="C19" s="113" t="s">
        <v>909</v>
      </c>
      <c r="D19" s="112" t="s">
        <v>490</v>
      </c>
      <c r="E19" s="455" t="s">
        <v>187</v>
      </c>
      <c r="F19" s="112">
        <v>5</v>
      </c>
      <c r="G19" s="114">
        <f>'Basic Rates'!$E$143</f>
        <v>110</v>
      </c>
      <c r="H19" s="115">
        <f t="shared" si="0"/>
        <v>550</v>
      </c>
    </row>
    <row r="20" ht="24.95" customHeight="1" spans="2:8">
      <c r="B20" s="112">
        <v>1.08000004291534</v>
      </c>
      <c r="C20" s="113" t="s">
        <v>76</v>
      </c>
      <c r="D20" s="112" t="s">
        <v>213</v>
      </c>
      <c r="E20" s="455" t="s">
        <v>175</v>
      </c>
      <c r="F20" s="112">
        <v>5</v>
      </c>
      <c r="G20" s="114">
        <f>'Basic Rates'!$J$11</f>
        <v>3500</v>
      </c>
      <c r="H20" s="115">
        <f t="shared" si="0"/>
        <v>17500</v>
      </c>
    </row>
    <row r="21" ht="24.95" customHeight="1" spans="2:8">
      <c r="B21" s="112">
        <v>1.0900000333786</v>
      </c>
      <c r="C21" s="113" t="s">
        <v>208</v>
      </c>
      <c r="D21" s="112" t="s">
        <v>209</v>
      </c>
      <c r="E21" s="455" t="s">
        <v>175</v>
      </c>
      <c r="F21" s="112">
        <v>1.5</v>
      </c>
      <c r="G21" s="114">
        <f>'Basic Rates'!$J$10</f>
        <v>2300</v>
      </c>
      <c r="H21" s="115">
        <f t="shared" si="0"/>
        <v>3450</v>
      </c>
    </row>
    <row r="22" ht="20.45" customHeight="1" spans="2:8">
      <c r="B22" s="129"/>
      <c r="C22" s="129"/>
      <c r="D22" s="116" t="s">
        <v>579</v>
      </c>
      <c r="E22" s="117">
        <f>$F$11</f>
        <v>22.75</v>
      </c>
      <c r="F22" s="117" t="str">
        <f>$G$11</f>
        <v>Sq.ft</v>
      </c>
      <c r="G22" s="118"/>
      <c r="H22" s="115">
        <f>SUM(H13:H21)</f>
        <v>25506</v>
      </c>
    </row>
    <row r="23" ht="20.45" customHeight="1" spans="2:8">
      <c r="B23" s="129"/>
      <c r="C23" s="129"/>
      <c r="D23" s="116" t="s">
        <v>580</v>
      </c>
      <c r="E23" s="117" t="str">
        <f>$G$11</f>
        <v>Sq.ft</v>
      </c>
      <c r="F23" s="117"/>
      <c r="G23" s="118"/>
      <c r="H23" s="115">
        <f>H22/F11</f>
        <v>1121.14285714286</v>
      </c>
    </row>
    <row r="24" s="81" customFormat="1" ht="15" customHeight="1" spans="1:11">
      <c r="A24" s="93"/>
      <c r="B24" s="125"/>
      <c r="C24" s="125"/>
      <c r="D24" s="124" t="s">
        <v>581</v>
      </c>
      <c r="E24" s="121"/>
      <c r="F24" s="121"/>
      <c r="G24" s="156"/>
      <c r="H24" s="157">
        <f>ROUND(H23,0)</f>
        <v>1121</v>
      </c>
      <c r="K24" s="132"/>
    </row>
    <row r="25" s="81" customFormat="1" ht="30.6" customHeight="1" spans="1:8">
      <c r="A25" s="93"/>
      <c r="B25" s="93"/>
      <c r="C25" s="93"/>
      <c r="D25" s="94"/>
      <c r="E25" s="95"/>
      <c r="F25" s="95"/>
      <c r="G25" s="96"/>
      <c r="H25" s="97"/>
    </row>
    <row r="26" s="83" customFormat="1" ht="35.1" customHeight="1" spans="1:9">
      <c r="A26" s="105" t="s">
        <v>961</v>
      </c>
      <c r="B26" s="105"/>
      <c r="C26" s="106" t="s">
        <v>962</v>
      </c>
      <c r="D26" s="106"/>
      <c r="E26" s="106"/>
      <c r="F26" s="106"/>
      <c r="G26" s="106"/>
      <c r="H26" s="106"/>
      <c r="I26" s="128"/>
    </row>
    <row r="27" s="84" customFormat="1" ht="18" customHeight="1" spans="4:8">
      <c r="D27" s="107"/>
      <c r="E27" s="108" t="s">
        <v>570</v>
      </c>
      <c r="F27" s="107">
        <v>28</v>
      </c>
      <c r="G27" s="108" t="s">
        <v>187</v>
      </c>
      <c r="H27" s="109"/>
    </row>
    <row r="28" s="85" customFormat="1" ht="21" customHeight="1" spans="2:8">
      <c r="B28" s="110" t="s">
        <v>194</v>
      </c>
      <c r="C28" s="110" t="s">
        <v>573</v>
      </c>
      <c r="D28" s="110" t="s">
        <v>574</v>
      </c>
      <c r="E28" s="110" t="s">
        <v>6</v>
      </c>
      <c r="F28" s="110" t="s">
        <v>575</v>
      </c>
      <c r="G28" s="110" t="s">
        <v>576</v>
      </c>
      <c r="H28" s="111" t="s">
        <v>577</v>
      </c>
    </row>
    <row r="29" ht="20.45" customHeight="1" spans="2:8">
      <c r="B29" s="112">
        <v>1.00999999046326</v>
      </c>
      <c r="C29" s="113" t="s">
        <v>957</v>
      </c>
      <c r="D29" s="112" t="s">
        <v>485</v>
      </c>
      <c r="E29" s="455" t="s">
        <v>481</v>
      </c>
      <c r="F29" s="112">
        <v>1.66</v>
      </c>
      <c r="G29" s="114">
        <f>'Basic Rates'!$E$141</f>
        <v>1300</v>
      </c>
      <c r="H29" s="115">
        <f t="shared" ref="H29:H37" si="1">G29*F29</f>
        <v>2158</v>
      </c>
    </row>
    <row r="30" ht="20.45" customHeight="1" spans="2:8">
      <c r="B30" s="112">
        <v>1.01999998092651</v>
      </c>
      <c r="C30" s="113" t="s">
        <v>443</v>
      </c>
      <c r="D30" s="112" t="s">
        <v>444</v>
      </c>
      <c r="E30" s="455" t="s">
        <v>194</v>
      </c>
      <c r="F30" s="112">
        <v>2</v>
      </c>
      <c r="G30" s="114">
        <f>'Basic Rates'!$E$121</f>
        <v>15</v>
      </c>
      <c r="H30" s="115">
        <f t="shared" si="1"/>
        <v>30</v>
      </c>
    </row>
    <row r="31" ht="20.45" customHeight="1" spans="2:8">
      <c r="B31" s="112">
        <v>1.02999997138977</v>
      </c>
      <c r="C31" s="113" t="s">
        <v>293</v>
      </c>
      <c r="D31" s="112" t="s">
        <v>294</v>
      </c>
      <c r="E31" s="112" t="s">
        <v>194</v>
      </c>
      <c r="F31" s="112">
        <v>6</v>
      </c>
      <c r="G31" s="114">
        <f>'Basic Rates'!$E$48</f>
        <v>1.5</v>
      </c>
      <c r="H31" s="115">
        <f t="shared" si="1"/>
        <v>9</v>
      </c>
    </row>
    <row r="32" ht="20.45" customHeight="1" spans="2:8">
      <c r="B32" s="112">
        <v>1.03999996185303</v>
      </c>
      <c r="C32" s="113" t="s">
        <v>958</v>
      </c>
      <c r="D32" s="112" t="s">
        <v>239</v>
      </c>
      <c r="E32" s="112" t="s">
        <v>194</v>
      </c>
      <c r="F32" s="112">
        <v>6</v>
      </c>
      <c r="G32" s="114">
        <f>'Basic Rates'!$E$21</f>
        <v>7.5</v>
      </c>
      <c r="H32" s="115">
        <f t="shared" si="1"/>
        <v>45</v>
      </c>
    </row>
    <row r="33" ht="20.45" customHeight="1" spans="2:8">
      <c r="B33" s="112">
        <v>1.04999995231628</v>
      </c>
      <c r="C33" s="113" t="s">
        <v>959</v>
      </c>
      <c r="D33" s="112" t="s">
        <v>341</v>
      </c>
      <c r="E33" s="455" t="s">
        <v>194</v>
      </c>
      <c r="F33" s="112">
        <v>2</v>
      </c>
      <c r="G33" s="114">
        <f>'Basic Rates'!$E$70</f>
        <v>6</v>
      </c>
      <c r="H33" s="115">
        <f t="shared" si="1"/>
        <v>12</v>
      </c>
    </row>
    <row r="34" ht="24.95" customHeight="1" spans="2:8">
      <c r="B34" s="112">
        <v>1.05999994277954</v>
      </c>
      <c r="C34" s="113" t="s">
        <v>960</v>
      </c>
      <c r="D34" s="112" t="s">
        <v>487</v>
      </c>
      <c r="E34" s="455" t="s">
        <v>187</v>
      </c>
      <c r="F34" s="112">
        <v>16</v>
      </c>
      <c r="G34" s="114">
        <f>'Basic Rates'!$E$142</f>
        <v>140</v>
      </c>
      <c r="H34" s="115">
        <f t="shared" si="1"/>
        <v>2240</v>
      </c>
    </row>
    <row r="35" ht="24.95" customHeight="1" spans="2:8">
      <c r="B35" s="112">
        <v>1.07000005245209</v>
      </c>
      <c r="C35" s="113" t="s">
        <v>909</v>
      </c>
      <c r="D35" s="112" t="s">
        <v>490</v>
      </c>
      <c r="E35" s="455" t="s">
        <v>187</v>
      </c>
      <c r="F35" s="112">
        <v>7</v>
      </c>
      <c r="G35" s="114">
        <f>'Basic Rates'!$E$143</f>
        <v>110</v>
      </c>
      <c r="H35" s="115">
        <f t="shared" si="1"/>
        <v>770</v>
      </c>
    </row>
    <row r="36" ht="24.95" customHeight="1" spans="2:8">
      <c r="B36" s="112">
        <v>1.08000004291534</v>
      </c>
      <c r="C36" s="113" t="s">
        <v>76</v>
      </c>
      <c r="D36" s="112" t="s">
        <v>213</v>
      </c>
      <c r="E36" s="455" t="s">
        <v>175</v>
      </c>
      <c r="F36" s="112">
        <v>6</v>
      </c>
      <c r="G36" s="114">
        <f>'Basic Rates'!$J$11</f>
        <v>3500</v>
      </c>
      <c r="H36" s="115">
        <f t="shared" si="1"/>
        <v>21000</v>
      </c>
    </row>
    <row r="37" ht="24.95" customHeight="1" spans="2:8">
      <c r="B37" s="112">
        <v>1.0900000333786</v>
      </c>
      <c r="C37" s="113" t="s">
        <v>208</v>
      </c>
      <c r="D37" s="112" t="s">
        <v>209</v>
      </c>
      <c r="E37" s="455" t="s">
        <v>175</v>
      </c>
      <c r="F37" s="112">
        <v>2</v>
      </c>
      <c r="G37" s="114">
        <f>'Basic Rates'!$J$10</f>
        <v>2300</v>
      </c>
      <c r="H37" s="115">
        <f t="shared" si="1"/>
        <v>4600</v>
      </c>
    </row>
    <row r="38" ht="20.45" customHeight="1" spans="2:8">
      <c r="B38" s="129"/>
      <c r="C38" s="129"/>
      <c r="D38" s="116" t="s">
        <v>579</v>
      </c>
      <c r="E38" s="117">
        <f>$F$27</f>
        <v>28</v>
      </c>
      <c r="F38" s="117" t="str">
        <f>$G$27</f>
        <v>Sq.ft</v>
      </c>
      <c r="G38" s="118"/>
      <c r="H38" s="115">
        <f>SUM(H29:H37)</f>
        <v>30864</v>
      </c>
    </row>
    <row r="39" ht="20.45" customHeight="1" spans="2:8">
      <c r="B39" s="129"/>
      <c r="C39" s="129"/>
      <c r="D39" s="116" t="s">
        <v>580</v>
      </c>
      <c r="E39" s="117" t="str">
        <f>$G$27</f>
        <v>Sq.ft</v>
      </c>
      <c r="F39" s="117"/>
      <c r="G39" s="118"/>
      <c r="H39" s="115">
        <f>H38/F27</f>
        <v>1102.28571428571</v>
      </c>
    </row>
    <row r="40" s="81" customFormat="1" ht="15" customHeight="1" spans="1:11">
      <c r="A40" s="93"/>
      <c r="B40" s="125"/>
      <c r="C40" s="125"/>
      <c r="D40" s="124" t="s">
        <v>581</v>
      </c>
      <c r="E40" s="121"/>
      <c r="F40" s="121"/>
      <c r="G40" s="156"/>
      <c r="H40" s="157">
        <f>ROUND(H39,0)</f>
        <v>1102</v>
      </c>
      <c r="K40" s="132"/>
    </row>
    <row r="41" s="81" customFormat="1" ht="30.6" customHeight="1" spans="1:8">
      <c r="A41" s="93"/>
      <c r="B41" s="93"/>
      <c r="C41" s="93"/>
      <c r="D41" s="94"/>
      <c r="E41" s="95"/>
      <c r="F41" s="95"/>
      <c r="G41" s="96"/>
      <c r="H41" s="97"/>
    </row>
    <row r="42" s="83" customFormat="1" ht="35.1" customHeight="1" spans="1:9">
      <c r="A42" s="105" t="s">
        <v>963</v>
      </c>
      <c r="B42" s="105"/>
      <c r="C42" s="106" t="s">
        <v>964</v>
      </c>
      <c r="D42" s="106"/>
      <c r="E42" s="106"/>
      <c r="F42" s="106"/>
      <c r="G42" s="106"/>
      <c r="H42" s="106"/>
      <c r="I42" s="128"/>
    </row>
    <row r="43" s="84" customFormat="1" ht="18" customHeight="1" spans="4:8">
      <c r="D43" s="107"/>
      <c r="E43" s="108" t="s">
        <v>570</v>
      </c>
      <c r="F43" s="107">
        <v>21.75</v>
      </c>
      <c r="G43" s="108" t="s">
        <v>187</v>
      </c>
      <c r="H43" s="109"/>
    </row>
    <row r="44" s="85" customFormat="1" ht="15" customHeight="1" spans="2:8">
      <c r="B44" s="110" t="s">
        <v>194</v>
      </c>
      <c r="C44" s="110" t="s">
        <v>573</v>
      </c>
      <c r="D44" s="110" t="s">
        <v>574</v>
      </c>
      <c r="E44" s="110" t="s">
        <v>6</v>
      </c>
      <c r="F44" s="110" t="s">
        <v>575</v>
      </c>
      <c r="G44" s="110" t="s">
        <v>576</v>
      </c>
      <c r="H44" s="111" t="s">
        <v>577</v>
      </c>
    </row>
    <row r="45" ht="20.45" customHeight="1" spans="2:8">
      <c r="B45" s="112">
        <v>1.00999999046326</v>
      </c>
      <c r="C45" s="113" t="s">
        <v>957</v>
      </c>
      <c r="D45" s="112" t="s">
        <v>485</v>
      </c>
      <c r="E45" s="455" t="s">
        <v>481</v>
      </c>
      <c r="F45" s="112">
        <v>1.8</v>
      </c>
      <c r="G45" s="114">
        <f>'Basic Rates'!$E$141</f>
        <v>1300</v>
      </c>
      <c r="H45" s="115">
        <f>G45*F45</f>
        <v>2340</v>
      </c>
    </row>
    <row r="46" ht="20.45" customHeight="1" spans="2:8">
      <c r="B46" s="112">
        <v>1.01999998092651</v>
      </c>
      <c r="C46" s="113" t="s">
        <v>443</v>
      </c>
      <c r="D46" s="112" t="s">
        <v>444</v>
      </c>
      <c r="E46" s="455" t="s">
        <v>194</v>
      </c>
      <c r="F46" s="112">
        <v>2</v>
      </c>
      <c r="G46" s="114">
        <f>'Basic Rates'!$E$121</f>
        <v>15</v>
      </c>
      <c r="H46" s="115">
        <f t="shared" ref="H46:H53" si="2">G46*F46</f>
        <v>30</v>
      </c>
    </row>
    <row r="47" ht="20.45" customHeight="1" spans="2:8">
      <c r="B47" s="112">
        <v>1.02999997138977</v>
      </c>
      <c r="C47" s="113" t="s">
        <v>293</v>
      </c>
      <c r="D47" s="112" t="s">
        <v>294</v>
      </c>
      <c r="E47" s="112" t="s">
        <v>194</v>
      </c>
      <c r="F47" s="112">
        <v>6</v>
      </c>
      <c r="G47" s="114">
        <f>'Basic Rates'!$E$48</f>
        <v>1.5</v>
      </c>
      <c r="H47" s="115">
        <f t="shared" si="2"/>
        <v>9</v>
      </c>
    </row>
    <row r="48" ht="20.45" customHeight="1" spans="2:8">
      <c r="B48" s="112">
        <v>1.03999996185303</v>
      </c>
      <c r="C48" s="113" t="s">
        <v>958</v>
      </c>
      <c r="D48" s="112" t="s">
        <v>239</v>
      </c>
      <c r="E48" s="112" t="s">
        <v>194</v>
      </c>
      <c r="F48" s="112">
        <v>6</v>
      </c>
      <c r="G48" s="114">
        <f>'Basic Rates'!$E$21</f>
        <v>7.5</v>
      </c>
      <c r="H48" s="115">
        <f t="shared" si="2"/>
        <v>45</v>
      </c>
    </row>
    <row r="49" ht="20.45" customHeight="1" spans="2:8">
      <c r="B49" s="112">
        <v>1.04999995231628</v>
      </c>
      <c r="C49" s="113" t="s">
        <v>965</v>
      </c>
      <c r="D49" s="112" t="s">
        <v>355</v>
      </c>
      <c r="E49" s="455" t="s">
        <v>194</v>
      </c>
      <c r="F49" s="112">
        <v>1</v>
      </c>
      <c r="G49" s="114">
        <f>'Basic Rates'!E77</f>
        <v>3900</v>
      </c>
      <c r="H49" s="115">
        <f t="shared" si="2"/>
        <v>3900</v>
      </c>
    </row>
    <row r="50" ht="24.95" customHeight="1" spans="2:8">
      <c r="B50" s="112">
        <v>1.05999994277954</v>
      </c>
      <c r="C50" s="113" t="s">
        <v>76</v>
      </c>
      <c r="D50" s="112" t="s">
        <v>213</v>
      </c>
      <c r="E50" s="455" t="s">
        <v>175</v>
      </c>
      <c r="F50" s="112">
        <v>0.75</v>
      </c>
      <c r="G50" s="114">
        <f>'Basic Rates'!$J$11</f>
        <v>3500</v>
      </c>
      <c r="H50" s="115">
        <f t="shared" si="2"/>
        <v>2625</v>
      </c>
    </row>
    <row r="51" ht="24.95" customHeight="1" spans="2:8">
      <c r="B51" s="112">
        <v>1.07000005245209</v>
      </c>
      <c r="C51" s="113" t="s">
        <v>208</v>
      </c>
      <c r="D51" s="112" t="s">
        <v>209</v>
      </c>
      <c r="E51" s="455" t="s">
        <v>175</v>
      </c>
      <c r="F51" s="112">
        <v>0.375</v>
      </c>
      <c r="G51" s="114">
        <f>'Basic Rates'!$J$10</f>
        <v>2300</v>
      </c>
      <c r="H51" s="115">
        <f t="shared" si="2"/>
        <v>862.5</v>
      </c>
    </row>
    <row r="52" ht="24.95" customHeight="1" spans="2:8">
      <c r="B52" s="112">
        <v>1.08000004291534</v>
      </c>
      <c r="C52" s="113" t="s">
        <v>966</v>
      </c>
      <c r="D52" s="112" t="s">
        <v>218</v>
      </c>
      <c r="E52" s="455" t="s">
        <v>175</v>
      </c>
      <c r="F52" s="112">
        <v>0.25</v>
      </c>
      <c r="G52" s="114">
        <f>'Basic Rates'!$J$12</f>
        <v>3500</v>
      </c>
      <c r="H52" s="115">
        <f t="shared" si="2"/>
        <v>875</v>
      </c>
    </row>
    <row r="53" ht="24.95" customHeight="1" spans="2:8">
      <c r="B53" s="112">
        <v>1.0900000333786</v>
      </c>
      <c r="C53" s="113" t="s">
        <v>967</v>
      </c>
      <c r="D53" s="112" t="s">
        <v>209</v>
      </c>
      <c r="E53" s="455" t="s">
        <v>175</v>
      </c>
      <c r="F53" s="112">
        <v>0.25</v>
      </c>
      <c r="G53" s="114">
        <f>'Basic Rates'!$J$10</f>
        <v>2300</v>
      </c>
      <c r="H53" s="115">
        <f t="shared" si="2"/>
        <v>575</v>
      </c>
    </row>
    <row r="54" ht="20.45" customHeight="1" spans="2:8">
      <c r="B54" s="129"/>
      <c r="C54" s="129"/>
      <c r="D54" s="116" t="s">
        <v>579</v>
      </c>
      <c r="E54" s="117">
        <f>$F$43</f>
        <v>21.75</v>
      </c>
      <c r="F54" s="117" t="str">
        <f>$G$43</f>
        <v>Sq.ft</v>
      </c>
      <c r="G54" s="118"/>
      <c r="H54" s="115">
        <f>SUM(H45:H53)</f>
        <v>11261.5</v>
      </c>
    </row>
    <row r="55" ht="20.45" customHeight="1" spans="2:8">
      <c r="B55" s="129"/>
      <c r="C55" s="129"/>
      <c r="D55" s="116" t="s">
        <v>580</v>
      </c>
      <c r="E55" s="117" t="str">
        <f>$G$43</f>
        <v>Sq.ft</v>
      </c>
      <c r="F55" s="117"/>
      <c r="G55" s="118"/>
      <c r="H55" s="115">
        <f>H54/F43</f>
        <v>517.770114942529</v>
      </c>
    </row>
    <row r="56" s="81" customFormat="1" ht="15" customHeight="1" spans="1:11">
      <c r="A56" s="93"/>
      <c r="B56" s="125"/>
      <c r="C56" s="125"/>
      <c r="D56" s="124" t="s">
        <v>581</v>
      </c>
      <c r="E56" s="121"/>
      <c r="F56" s="121"/>
      <c r="G56" s="156"/>
      <c r="H56" s="157">
        <f>ROUND(H55,0)</f>
        <v>518</v>
      </c>
      <c r="K56" s="132"/>
    </row>
    <row r="57" s="81" customFormat="1" ht="30.6" customHeight="1" spans="1:8">
      <c r="A57" s="93"/>
      <c r="B57" s="93"/>
      <c r="C57" s="93"/>
      <c r="D57" s="94"/>
      <c r="E57" s="95"/>
      <c r="F57" s="95"/>
      <c r="G57" s="96"/>
      <c r="H57" s="97"/>
    </row>
    <row r="58" s="83" customFormat="1" ht="35.1" customHeight="1" spans="1:9">
      <c r="A58" s="105" t="s">
        <v>968</v>
      </c>
      <c r="B58" s="105"/>
      <c r="C58" s="106" t="s">
        <v>969</v>
      </c>
      <c r="D58" s="106"/>
      <c r="E58" s="106"/>
      <c r="F58" s="106"/>
      <c r="G58" s="106"/>
      <c r="H58" s="106"/>
      <c r="I58" s="128"/>
    </row>
    <row r="59" s="84" customFormat="1" ht="18" customHeight="1" spans="4:8">
      <c r="D59" s="107"/>
      <c r="E59" s="108" t="s">
        <v>570</v>
      </c>
      <c r="F59" s="107">
        <v>16.25</v>
      </c>
      <c r="G59" s="108" t="s">
        <v>187</v>
      </c>
      <c r="H59" s="109"/>
    </row>
    <row r="60" s="85" customFormat="1" ht="15" customHeight="1" spans="2:8">
      <c r="B60" s="110" t="s">
        <v>194</v>
      </c>
      <c r="C60" s="110" t="s">
        <v>573</v>
      </c>
      <c r="D60" s="110" t="s">
        <v>574</v>
      </c>
      <c r="E60" s="110" t="s">
        <v>6</v>
      </c>
      <c r="F60" s="110" t="s">
        <v>575</v>
      </c>
      <c r="G60" s="110" t="s">
        <v>576</v>
      </c>
      <c r="H60" s="111" t="s">
        <v>577</v>
      </c>
    </row>
    <row r="61" ht="20.45" customHeight="1" spans="2:8">
      <c r="B61" s="112">
        <v>1.00999999046326</v>
      </c>
      <c r="C61" s="113" t="s">
        <v>957</v>
      </c>
      <c r="D61" s="112" t="s">
        <v>485</v>
      </c>
      <c r="E61" s="455" t="s">
        <v>481</v>
      </c>
      <c r="F61" s="112">
        <v>1.7</v>
      </c>
      <c r="G61" s="114">
        <f>'Basic Rates'!$E$141</f>
        <v>1300</v>
      </c>
      <c r="H61" s="115">
        <f>G61*F61</f>
        <v>2210</v>
      </c>
    </row>
    <row r="62" ht="20.45" customHeight="1" spans="2:8">
      <c r="B62" s="112">
        <v>1.01999998092651</v>
      </c>
      <c r="C62" s="113" t="s">
        <v>443</v>
      </c>
      <c r="D62" s="112" t="s">
        <v>444</v>
      </c>
      <c r="E62" s="455" t="s">
        <v>194</v>
      </c>
      <c r="F62" s="112">
        <v>2</v>
      </c>
      <c r="G62" s="114">
        <f>'Basic Rates'!$E$121</f>
        <v>15</v>
      </c>
      <c r="H62" s="115">
        <f t="shared" ref="H62:H71" si="3">G62*F62</f>
        <v>30</v>
      </c>
    </row>
    <row r="63" ht="20.45" customHeight="1" spans="2:8">
      <c r="B63" s="112">
        <v>1.02999997138977</v>
      </c>
      <c r="C63" s="113" t="s">
        <v>293</v>
      </c>
      <c r="D63" s="112" t="s">
        <v>294</v>
      </c>
      <c r="E63" s="112" t="s">
        <v>194</v>
      </c>
      <c r="F63" s="112">
        <v>6</v>
      </c>
      <c r="G63" s="114">
        <f>'Basic Rates'!$E$48</f>
        <v>1.5</v>
      </c>
      <c r="H63" s="115">
        <f t="shared" si="3"/>
        <v>9</v>
      </c>
    </row>
    <row r="64" ht="20.45" customHeight="1" spans="2:8">
      <c r="B64" s="112">
        <v>1.03999996185303</v>
      </c>
      <c r="C64" s="113" t="s">
        <v>958</v>
      </c>
      <c r="D64" s="112" t="s">
        <v>239</v>
      </c>
      <c r="E64" s="112" t="s">
        <v>194</v>
      </c>
      <c r="F64" s="112">
        <v>6</v>
      </c>
      <c r="G64" s="114">
        <f>'Basic Rates'!$E$21</f>
        <v>7.5</v>
      </c>
      <c r="H64" s="115">
        <f t="shared" si="3"/>
        <v>45</v>
      </c>
    </row>
    <row r="65" ht="20.45" customHeight="1" spans="2:8">
      <c r="B65" s="112">
        <v>1.04999995231628</v>
      </c>
      <c r="C65" s="113" t="s">
        <v>959</v>
      </c>
      <c r="D65" s="112" t="s">
        <v>341</v>
      </c>
      <c r="E65" s="455" t="s">
        <v>194</v>
      </c>
      <c r="F65" s="112">
        <v>2</v>
      </c>
      <c r="G65" s="114">
        <f>'Basic Rates'!$E$70</f>
        <v>6</v>
      </c>
      <c r="H65" s="115">
        <f t="shared" si="3"/>
        <v>12</v>
      </c>
    </row>
    <row r="66" ht="24.95" customHeight="1" spans="2:8">
      <c r="B66" s="112">
        <v>1.05999994277954</v>
      </c>
      <c r="C66" s="113" t="s">
        <v>909</v>
      </c>
      <c r="D66" s="112" t="s">
        <v>490</v>
      </c>
      <c r="E66" s="455" t="s">
        <v>187</v>
      </c>
      <c r="F66" s="112">
        <v>21</v>
      </c>
      <c r="G66" s="114">
        <f>'Basic Rates'!$E$143</f>
        <v>110</v>
      </c>
      <c r="H66" s="115">
        <f t="shared" si="3"/>
        <v>2310</v>
      </c>
    </row>
    <row r="67" ht="24.95" customHeight="1" spans="2:8">
      <c r="B67" s="112">
        <v>1.07000005245209</v>
      </c>
      <c r="C67" s="113" t="s">
        <v>232</v>
      </c>
      <c r="D67" s="112" t="s">
        <v>233</v>
      </c>
      <c r="E67" s="455" t="s">
        <v>194</v>
      </c>
      <c r="F67" s="112">
        <v>36</v>
      </c>
      <c r="G67" s="114">
        <f>'Basic Rates'!E18</f>
        <v>3.75</v>
      </c>
      <c r="H67" s="115">
        <f t="shared" si="3"/>
        <v>135</v>
      </c>
    </row>
    <row r="68" ht="24.95" customHeight="1" spans="2:8">
      <c r="B68" s="112">
        <v>1.08000004291534</v>
      </c>
      <c r="C68" s="113" t="s">
        <v>76</v>
      </c>
      <c r="D68" s="112" t="s">
        <v>213</v>
      </c>
      <c r="E68" s="455" t="s">
        <v>175</v>
      </c>
      <c r="F68" s="112">
        <v>2.25</v>
      </c>
      <c r="G68" s="114">
        <f>'Basic Rates'!$J$11</f>
        <v>3500</v>
      </c>
      <c r="H68" s="115">
        <f t="shared" si="3"/>
        <v>7875</v>
      </c>
    </row>
    <row r="69" ht="24.95" customHeight="1" spans="2:8">
      <c r="B69" s="112">
        <v>1.0900000333786</v>
      </c>
      <c r="C69" s="113" t="s">
        <v>208</v>
      </c>
      <c r="D69" s="112" t="s">
        <v>209</v>
      </c>
      <c r="E69" s="455" t="s">
        <v>175</v>
      </c>
      <c r="F69" s="112">
        <v>1</v>
      </c>
      <c r="G69" s="114">
        <f>'Basic Rates'!$J$10</f>
        <v>2300</v>
      </c>
      <c r="H69" s="115">
        <f t="shared" si="3"/>
        <v>2300</v>
      </c>
    </row>
    <row r="70" ht="24.95" customHeight="1" spans="2:8">
      <c r="B70" s="172">
        <v>1.1</v>
      </c>
      <c r="C70" s="113" t="s">
        <v>966</v>
      </c>
      <c r="D70" s="112" t="s">
        <v>218</v>
      </c>
      <c r="E70" s="455" t="s">
        <v>175</v>
      </c>
      <c r="F70" s="112">
        <v>0.25</v>
      </c>
      <c r="G70" s="114">
        <f>'Basic Rates'!$J$12</f>
        <v>3500</v>
      </c>
      <c r="H70" s="115">
        <f t="shared" si="3"/>
        <v>875</v>
      </c>
    </row>
    <row r="71" ht="24.95" customHeight="1" spans="2:8">
      <c r="B71" s="112">
        <v>1.11000001430511</v>
      </c>
      <c r="C71" s="113" t="s">
        <v>967</v>
      </c>
      <c r="D71" s="112" t="s">
        <v>209</v>
      </c>
      <c r="E71" s="455" t="s">
        <v>175</v>
      </c>
      <c r="F71" s="112">
        <v>0.25</v>
      </c>
      <c r="G71" s="114">
        <f>'Basic Rates'!$J$10</f>
        <v>2300</v>
      </c>
      <c r="H71" s="115">
        <f t="shared" si="3"/>
        <v>575</v>
      </c>
    </row>
    <row r="72" ht="20.45" customHeight="1" spans="2:8">
      <c r="B72" s="129"/>
      <c r="C72" s="129"/>
      <c r="D72" s="116" t="s">
        <v>579</v>
      </c>
      <c r="E72" s="117">
        <f>$F$59</f>
        <v>16.25</v>
      </c>
      <c r="F72" s="117" t="str">
        <f>$G$59</f>
        <v>Sq.ft</v>
      </c>
      <c r="G72" s="118"/>
      <c r="H72" s="115">
        <f>SUM(H61:H71)</f>
        <v>16376</v>
      </c>
    </row>
    <row r="73" ht="20.45" customHeight="1" spans="2:8">
      <c r="B73" s="129"/>
      <c r="C73" s="129"/>
      <c r="D73" s="116" t="s">
        <v>580</v>
      </c>
      <c r="E73" s="117" t="str">
        <f>$G$59</f>
        <v>Sq.ft</v>
      </c>
      <c r="F73" s="117"/>
      <c r="G73" s="118"/>
      <c r="H73" s="115">
        <f>H72/F59</f>
        <v>1007.75384615385</v>
      </c>
    </row>
    <row r="74" s="81" customFormat="1" ht="15" customHeight="1" spans="1:11">
      <c r="A74" s="93"/>
      <c r="B74" s="125"/>
      <c r="C74" s="125"/>
      <c r="D74" s="124" t="s">
        <v>581</v>
      </c>
      <c r="E74" s="121"/>
      <c r="F74" s="121"/>
      <c r="G74" s="156"/>
      <c r="H74" s="157">
        <f>ROUND(H73,0)</f>
        <v>1008</v>
      </c>
      <c r="K74" s="132"/>
    </row>
    <row r="75" s="81" customFormat="1" ht="30.6" customHeight="1" spans="1:8">
      <c r="A75" s="93"/>
      <c r="B75" s="93"/>
      <c r="C75" s="93"/>
      <c r="D75" s="94"/>
      <c r="E75" s="95"/>
      <c r="F75" s="95"/>
      <c r="G75" s="96"/>
      <c r="H75" s="97"/>
    </row>
    <row r="76" s="83" customFormat="1" ht="35.1" customHeight="1" spans="1:9">
      <c r="A76" s="105" t="s">
        <v>970</v>
      </c>
      <c r="B76" s="105"/>
      <c r="C76" s="106" t="s">
        <v>971</v>
      </c>
      <c r="D76" s="106"/>
      <c r="E76" s="106"/>
      <c r="F76" s="106"/>
      <c r="G76" s="106"/>
      <c r="H76" s="106"/>
      <c r="I76" s="128"/>
    </row>
    <row r="77" s="84" customFormat="1" ht="18" customHeight="1" spans="4:8">
      <c r="D77" s="107"/>
      <c r="E77" s="108" t="s">
        <v>570</v>
      </c>
      <c r="F77" s="107">
        <v>28</v>
      </c>
      <c r="G77" s="108" t="s">
        <v>187</v>
      </c>
      <c r="H77" s="109"/>
    </row>
    <row r="78" s="85" customFormat="1" ht="15" customHeight="1" spans="2:8">
      <c r="B78" s="110" t="s">
        <v>194</v>
      </c>
      <c r="C78" s="110" t="s">
        <v>573</v>
      </c>
      <c r="D78" s="110" t="s">
        <v>574</v>
      </c>
      <c r="E78" s="110" t="s">
        <v>6</v>
      </c>
      <c r="F78" s="110" t="s">
        <v>575</v>
      </c>
      <c r="G78" s="110" t="s">
        <v>576</v>
      </c>
      <c r="H78" s="111" t="s">
        <v>577</v>
      </c>
    </row>
    <row r="79" ht="20.45" customHeight="1" spans="2:8">
      <c r="B79" s="112">
        <v>1.00999999046326</v>
      </c>
      <c r="C79" s="113" t="s">
        <v>957</v>
      </c>
      <c r="D79" s="112" t="s">
        <v>485</v>
      </c>
      <c r="E79" s="455" t="s">
        <v>481</v>
      </c>
      <c r="F79" s="112">
        <v>3.2</v>
      </c>
      <c r="G79" s="114">
        <f>'Basic Rates'!$E$141</f>
        <v>1300</v>
      </c>
      <c r="H79" s="115">
        <f>G79*F79</f>
        <v>4160</v>
      </c>
    </row>
    <row r="80" ht="20.45" customHeight="1" spans="2:8">
      <c r="B80" s="112">
        <f>B79+0.01</f>
        <v>1.01999999046326</v>
      </c>
      <c r="C80" s="113" t="s">
        <v>958</v>
      </c>
      <c r="D80" s="112" t="s">
        <v>239</v>
      </c>
      <c r="E80" s="455" t="s">
        <v>194</v>
      </c>
      <c r="F80" s="112">
        <v>4</v>
      </c>
      <c r="G80" s="114">
        <f>'Basic Rates'!$E$21</f>
        <v>7.5</v>
      </c>
      <c r="H80" s="115">
        <f t="shared" ref="H80:H86" si="4">G80*F80</f>
        <v>30</v>
      </c>
    </row>
    <row r="81" ht="20.45" customHeight="1" spans="2:8">
      <c r="B81" s="112">
        <f t="shared" ref="B81:B86" si="5">B80+0.01</f>
        <v>1.02999999046326</v>
      </c>
      <c r="C81" s="113" t="s">
        <v>293</v>
      </c>
      <c r="D81" s="112" t="s">
        <v>294</v>
      </c>
      <c r="E81" s="112" t="s">
        <v>194</v>
      </c>
      <c r="F81" s="112">
        <v>4</v>
      </c>
      <c r="G81" s="114">
        <f>'Basic Rates'!$E$48</f>
        <v>1.5</v>
      </c>
      <c r="H81" s="115">
        <f t="shared" si="4"/>
        <v>6</v>
      </c>
    </row>
    <row r="82" ht="20.45" customHeight="1" spans="2:8">
      <c r="B82" s="112">
        <f t="shared" si="5"/>
        <v>1.03999999046326</v>
      </c>
      <c r="C82" s="113" t="s">
        <v>960</v>
      </c>
      <c r="D82" s="112" t="s">
        <v>487</v>
      </c>
      <c r="E82" s="112" t="s">
        <v>187</v>
      </c>
      <c r="F82" s="112">
        <v>9.25</v>
      </c>
      <c r="G82" s="114">
        <f>'Basic Rates'!$E$142</f>
        <v>140</v>
      </c>
      <c r="H82" s="115">
        <f t="shared" si="4"/>
        <v>1295</v>
      </c>
    </row>
    <row r="83" ht="20.45" customHeight="1" spans="2:8">
      <c r="B83" s="112">
        <f t="shared" si="5"/>
        <v>1.04999999046326</v>
      </c>
      <c r="C83" s="113" t="s">
        <v>76</v>
      </c>
      <c r="D83" s="112" t="s">
        <v>213</v>
      </c>
      <c r="E83" s="455" t="s">
        <v>175</v>
      </c>
      <c r="F83" s="112">
        <v>6</v>
      </c>
      <c r="G83" s="114">
        <f>'Basic Rates'!$J$11</f>
        <v>3500</v>
      </c>
      <c r="H83" s="115">
        <f t="shared" si="4"/>
        <v>21000</v>
      </c>
    </row>
    <row r="84" ht="24.95" customHeight="1" spans="2:8">
      <c r="B84" s="112">
        <f t="shared" si="5"/>
        <v>1.05999999046326</v>
      </c>
      <c r="C84" s="113" t="s">
        <v>208</v>
      </c>
      <c r="D84" s="112" t="s">
        <v>209</v>
      </c>
      <c r="E84" s="455" t="s">
        <v>175</v>
      </c>
      <c r="F84" s="112">
        <v>2.5</v>
      </c>
      <c r="G84" s="114">
        <f>'Basic Rates'!$J$10</f>
        <v>2300</v>
      </c>
      <c r="H84" s="115">
        <f t="shared" si="4"/>
        <v>5750</v>
      </c>
    </row>
    <row r="85" ht="24.95" customHeight="1" spans="2:8">
      <c r="B85" s="112">
        <f t="shared" si="5"/>
        <v>1.06999999046326</v>
      </c>
      <c r="C85" s="113" t="s">
        <v>966</v>
      </c>
      <c r="D85" s="112" t="s">
        <v>218</v>
      </c>
      <c r="E85" s="455" t="s">
        <v>175</v>
      </c>
      <c r="F85" s="112">
        <v>0.5</v>
      </c>
      <c r="G85" s="114">
        <f>'Basic Rates'!$J$12</f>
        <v>3500</v>
      </c>
      <c r="H85" s="115">
        <f t="shared" si="4"/>
        <v>1750</v>
      </c>
    </row>
    <row r="86" ht="24.95" customHeight="1" spans="2:8">
      <c r="B86" s="112">
        <f t="shared" si="5"/>
        <v>1.07999999046326</v>
      </c>
      <c r="C86" s="113" t="s">
        <v>967</v>
      </c>
      <c r="D86" s="112" t="s">
        <v>209</v>
      </c>
      <c r="E86" s="455" t="s">
        <v>175</v>
      </c>
      <c r="F86" s="112">
        <v>0.5</v>
      </c>
      <c r="G86" s="114">
        <f>'Basic Rates'!$J$10</f>
        <v>2300</v>
      </c>
      <c r="H86" s="115">
        <f t="shared" si="4"/>
        <v>1150</v>
      </c>
    </row>
    <row r="87" ht="20.45" customHeight="1" spans="2:8">
      <c r="B87" s="129"/>
      <c r="C87" s="129"/>
      <c r="D87" s="116" t="s">
        <v>579</v>
      </c>
      <c r="E87" s="117">
        <f>$F$77</f>
        <v>28</v>
      </c>
      <c r="F87" s="117" t="str">
        <f>$G$77</f>
        <v>Sq.ft</v>
      </c>
      <c r="G87" s="118"/>
      <c r="H87" s="115">
        <f>SUM(H79:H86)</f>
        <v>35141</v>
      </c>
    </row>
    <row r="88" ht="20.45" customHeight="1" spans="2:8">
      <c r="B88" s="129"/>
      <c r="C88" s="129"/>
      <c r="D88" s="116" t="s">
        <v>580</v>
      </c>
      <c r="E88" s="117" t="str">
        <f>$G$77</f>
        <v>Sq.ft</v>
      </c>
      <c r="F88" s="117"/>
      <c r="G88" s="118"/>
      <c r="H88" s="115">
        <f>H87/F77</f>
        <v>1255.03571428571</v>
      </c>
    </row>
    <row r="89" s="81" customFormat="1" ht="15" customHeight="1" spans="1:11">
      <c r="A89" s="93"/>
      <c r="B89" s="125"/>
      <c r="C89" s="125"/>
      <c r="D89" s="124" t="s">
        <v>581</v>
      </c>
      <c r="E89" s="121"/>
      <c r="F89" s="121"/>
      <c r="G89" s="156"/>
      <c r="H89" s="157">
        <f>ROUND(H88,0)</f>
        <v>1255</v>
      </c>
      <c r="K89" s="132"/>
    </row>
    <row r="90" s="81" customFormat="1" ht="30.6" customHeight="1" spans="1:8">
      <c r="A90" s="93"/>
      <c r="B90" s="93"/>
      <c r="C90" s="93"/>
      <c r="D90" s="94"/>
      <c r="E90" s="95"/>
      <c r="F90" s="95"/>
      <c r="G90" s="96"/>
      <c r="H90" s="97"/>
    </row>
    <row r="91" s="83" customFormat="1" ht="30" customHeight="1" spans="1:9">
      <c r="A91" s="105" t="s">
        <v>972</v>
      </c>
      <c r="B91" s="105"/>
      <c r="C91" s="106" t="s">
        <v>973</v>
      </c>
      <c r="D91" s="106"/>
      <c r="E91" s="106"/>
      <c r="F91" s="106"/>
      <c r="G91" s="106"/>
      <c r="H91" s="106"/>
      <c r="I91" s="128"/>
    </row>
    <row r="92" s="84" customFormat="1" ht="18" customHeight="1" spans="4:8">
      <c r="D92" s="107"/>
      <c r="E92" s="108" t="s">
        <v>570</v>
      </c>
      <c r="F92" s="107">
        <v>9</v>
      </c>
      <c r="G92" s="108" t="s">
        <v>187</v>
      </c>
      <c r="H92" s="109"/>
    </row>
    <row r="93" s="85" customFormat="1" ht="15" customHeight="1" spans="2:8">
      <c r="B93" s="110" t="s">
        <v>194</v>
      </c>
      <c r="C93" s="110" t="s">
        <v>573</v>
      </c>
      <c r="D93" s="110" t="s">
        <v>574</v>
      </c>
      <c r="E93" s="110" t="s">
        <v>6</v>
      </c>
      <c r="F93" s="110" t="s">
        <v>575</v>
      </c>
      <c r="G93" s="110" t="s">
        <v>576</v>
      </c>
      <c r="H93" s="111" t="s">
        <v>577</v>
      </c>
    </row>
    <row r="94" ht="20.45" customHeight="1" spans="2:8">
      <c r="B94" s="112">
        <v>1.00999999046326</v>
      </c>
      <c r="C94" s="113" t="s">
        <v>974</v>
      </c>
      <c r="D94" s="112" t="s">
        <v>256</v>
      </c>
      <c r="E94" s="455" t="s">
        <v>187</v>
      </c>
      <c r="F94" s="112">
        <v>9</v>
      </c>
      <c r="G94" s="114">
        <f>'Basic Rates'!E30</f>
        <v>25</v>
      </c>
      <c r="H94" s="115">
        <f>G94*F94</f>
        <v>225</v>
      </c>
    </row>
    <row r="95" ht="20.45" customHeight="1" spans="2:8">
      <c r="B95" s="112">
        <f>B94+0.01</f>
        <v>1.01999999046326</v>
      </c>
      <c r="C95" s="113" t="s">
        <v>975</v>
      </c>
      <c r="D95" s="112" t="s">
        <v>474</v>
      </c>
      <c r="E95" s="455" t="s">
        <v>308</v>
      </c>
      <c r="F95" s="112">
        <v>30</v>
      </c>
      <c r="G95" s="114">
        <f>'Basic Rates'!E136</f>
        <v>1.5</v>
      </c>
      <c r="H95" s="115">
        <f>G95*F95</f>
        <v>45</v>
      </c>
    </row>
    <row r="96" ht="20.45" customHeight="1" spans="2:8">
      <c r="B96" s="112">
        <f>B95+0.01</f>
        <v>1.02999999046326</v>
      </c>
      <c r="C96" s="113" t="s">
        <v>227</v>
      </c>
      <c r="D96" s="112" t="s">
        <v>228</v>
      </c>
      <c r="E96" s="112" t="s">
        <v>229</v>
      </c>
      <c r="F96" s="112">
        <v>4</v>
      </c>
      <c r="G96" s="114">
        <f>'Basic Rates'!E16</f>
        <v>1</v>
      </c>
      <c r="H96" s="115">
        <f>G96*F96</f>
        <v>4</v>
      </c>
    </row>
    <row r="97" ht="20.45" customHeight="1" spans="2:8">
      <c r="B97" s="112">
        <f>B96+0.01</f>
        <v>1.03999999046326</v>
      </c>
      <c r="C97" s="113" t="s">
        <v>221</v>
      </c>
      <c r="D97" s="112" t="s">
        <v>222</v>
      </c>
      <c r="E97" s="112" t="s">
        <v>175</v>
      </c>
      <c r="F97" s="112">
        <v>0.5</v>
      </c>
      <c r="G97" s="114">
        <f>'Basic Rates'!J13</f>
        <v>2000</v>
      </c>
      <c r="H97" s="115">
        <f>G97*F97</f>
        <v>1000</v>
      </c>
    </row>
    <row r="98" ht="20.45" customHeight="1" spans="2:8">
      <c r="B98" s="112">
        <f>B97+0.01</f>
        <v>1.04999999046326</v>
      </c>
      <c r="C98" s="113" t="s">
        <v>208</v>
      </c>
      <c r="D98" s="112" t="s">
        <v>209</v>
      </c>
      <c r="E98" s="455" t="s">
        <v>175</v>
      </c>
      <c r="F98" s="112">
        <v>0.5</v>
      </c>
      <c r="G98" s="114">
        <f>'Basic Rates'!$J$10</f>
        <v>2300</v>
      </c>
      <c r="H98" s="115">
        <f>G98*F98</f>
        <v>1150</v>
      </c>
    </row>
    <row r="99" ht="20.45" customHeight="1" spans="2:8">
      <c r="B99" s="129"/>
      <c r="C99" s="129"/>
      <c r="D99" s="116" t="s">
        <v>579</v>
      </c>
      <c r="E99" s="117">
        <f>$F$92</f>
        <v>9</v>
      </c>
      <c r="F99" s="117" t="str">
        <f>$G$92</f>
        <v>Sq.ft</v>
      </c>
      <c r="G99" s="118"/>
      <c r="H99" s="115">
        <f>SUM(H94:H98)</f>
        <v>2424</v>
      </c>
    </row>
    <row r="100" ht="20.45" customHeight="1" spans="2:8">
      <c r="B100" s="129"/>
      <c r="C100" s="129"/>
      <c r="D100" s="116" t="s">
        <v>580</v>
      </c>
      <c r="E100" s="117" t="str">
        <f>$G$92</f>
        <v>Sq.ft</v>
      </c>
      <c r="F100" s="117"/>
      <c r="G100" s="118"/>
      <c r="H100" s="115">
        <f>H99/F92</f>
        <v>269.333333333333</v>
      </c>
    </row>
    <row r="101" s="81" customFormat="1" ht="15" customHeight="1" spans="1:11">
      <c r="A101" s="93"/>
      <c r="B101" s="125"/>
      <c r="C101" s="125"/>
      <c r="D101" s="124" t="s">
        <v>581</v>
      </c>
      <c r="E101" s="121"/>
      <c r="F101" s="121"/>
      <c r="G101" s="156"/>
      <c r="H101" s="157">
        <f>ROUND(H100,0)</f>
        <v>269</v>
      </c>
      <c r="K101" s="132"/>
    </row>
    <row r="102" s="81" customFormat="1" ht="30.6" customHeight="1" spans="1:8">
      <c r="A102" s="93"/>
      <c r="B102" s="93"/>
      <c r="C102" s="93"/>
      <c r="D102" s="94"/>
      <c r="E102" s="95"/>
      <c r="F102" s="95"/>
      <c r="G102" s="96"/>
      <c r="H102" s="97"/>
    </row>
    <row r="103" s="1" customFormat="1" ht="20.25" customHeight="1" spans="1:9">
      <c r="A103" s="59" t="s">
        <v>954</v>
      </c>
      <c r="B103" s="22"/>
      <c r="C103" s="22"/>
      <c r="D103" s="22"/>
      <c r="E103" s="22"/>
      <c r="F103" s="22"/>
      <c r="G103" s="22"/>
      <c r="H103" s="60"/>
      <c r="I103" s="56"/>
    </row>
    <row r="104" ht="19.5" customHeight="1"/>
    <row r="105" s="83" customFormat="1" ht="24.95" customHeight="1" spans="1:9">
      <c r="A105" s="105" t="s">
        <v>976</v>
      </c>
      <c r="B105" s="105"/>
      <c r="C105" s="106" t="s">
        <v>977</v>
      </c>
      <c r="D105" s="106"/>
      <c r="E105" s="106"/>
      <c r="F105" s="106"/>
      <c r="G105" s="106"/>
      <c r="H105" s="106"/>
      <c r="I105" s="128"/>
    </row>
    <row r="106" s="84" customFormat="1" ht="18" customHeight="1" spans="4:8">
      <c r="D106" s="107"/>
      <c r="E106" s="108" t="s">
        <v>570</v>
      </c>
      <c r="F106" s="107">
        <v>1.5</v>
      </c>
      <c r="G106" s="108" t="s">
        <v>420</v>
      </c>
      <c r="H106" s="109"/>
    </row>
    <row r="107" s="85" customFormat="1" ht="15" customHeight="1" spans="2:8">
      <c r="B107" s="110" t="s">
        <v>194</v>
      </c>
      <c r="C107" s="110" t="s">
        <v>573</v>
      </c>
      <c r="D107" s="110" t="s">
        <v>574</v>
      </c>
      <c r="E107" s="110" t="s">
        <v>6</v>
      </c>
      <c r="F107" s="110" t="s">
        <v>575</v>
      </c>
      <c r="G107" s="110" t="s">
        <v>576</v>
      </c>
      <c r="H107" s="111" t="s">
        <v>577</v>
      </c>
    </row>
    <row r="108" ht="20.45" customHeight="1" spans="2:8">
      <c r="B108" s="112">
        <v>1.00999999046326</v>
      </c>
      <c r="C108" s="113" t="s">
        <v>978</v>
      </c>
      <c r="D108" s="112" t="s">
        <v>248</v>
      </c>
      <c r="E108" s="112" t="s">
        <v>194</v>
      </c>
      <c r="F108" s="112">
        <v>3</v>
      </c>
      <c r="G108" s="114">
        <f>'Basic Rates'!E26</f>
        <v>70</v>
      </c>
      <c r="H108" s="115">
        <f>G108*F108</f>
        <v>210</v>
      </c>
    </row>
    <row r="109" ht="20.45" customHeight="1" spans="2:8">
      <c r="B109" s="112">
        <v>1.01999998092651</v>
      </c>
      <c r="C109" s="113" t="s">
        <v>979</v>
      </c>
      <c r="D109" s="112" t="s">
        <v>237</v>
      </c>
      <c r="E109" s="455" t="s">
        <v>194</v>
      </c>
      <c r="F109" s="112">
        <v>24</v>
      </c>
      <c r="G109" s="114">
        <f>'Basic Rates'!E20</f>
        <v>7</v>
      </c>
      <c r="H109" s="115">
        <f>G109*F109</f>
        <v>168</v>
      </c>
    </row>
    <row r="110" ht="20.45" customHeight="1" spans="2:8">
      <c r="B110" s="112">
        <v>1.02999997138977</v>
      </c>
      <c r="C110" s="113" t="s">
        <v>76</v>
      </c>
      <c r="D110" s="112" t="s">
        <v>213</v>
      </c>
      <c r="E110" s="112" t="s">
        <v>175</v>
      </c>
      <c r="F110" s="112">
        <v>0.25</v>
      </c>
      <c r="G110" s="114">
        <f>'Basic Rates'!$J$11</f>
        <v>3500</v>
      </c>
      <c r="H110" s="115">
        <f>G110*F110</f>
        <v>875</v>
      </c>
    </row>
    <row r="111" ht="20.45" customHeight="1" spans="2:8">
      <c r="B111" s="112">
        <v>1.03999996185303</v>
      </c>
      <c r="C111" s="113" t="s">
        <v>208</v>
      </c>
      <c r="D111" s="112" t="s">
        <v>209</v>
      </c>
      <c r="E111" s="112" t="s">
        <v>175</v>
      </c>
      <c r="F111" s="112">
        <v>0.25</v>
      </c>
      <c r="G111" s="114">
        <f>'Basic Rates'!$J$10</f>
        <v>2300</v>
      </c>
      <c r="H111" s="115">
        <f>G111*F111</f>
        <v>575</v>
      </c>
    </row>
    <row r="112" ht="20.45" customHeight="1" spans="2:8">
      <c r="B112" s="129"/>
      <c r="C112" s="129"/>
      <c r="D112" s="116" t="s">
        <v>579</v>
      </c>
      <c r="E112" s="117">
        <f>$F$106</f>
        <v>1.5</v>
      </c>
      <c r="F112" s="117" t="str">
        <f>$G$106</f>
        <v>Pair</v>
      </c>
      <c r="G112" s="118"/>
      <c r="H112" s="115">
        <f>SUM(H108:H111)</f>
        <v>1828</v>
      </c>
    </row>
    <row r="113" ht="20.45" customHeight="1" spans="2:8">
      <c r="B113" s="129"/>
      <c r="C113" s="129"/>
      <c r="D113" s="116" t="s">
        <v>580</v>
      </c>
      <c r="E113" s="117" t="str">
        <f>$G$106</f>
        <v>Pair</v>
      </c>
      <c r="F113" s="117"/>
      <c r="G113" s="118"/>
      <c r="H113" s="115">
        <f>H112/F106</f>
        <v>1218.66666666667</v>
      </c>
    </row>
    <row r="114" s="81" customFormat="1" ht="15" customHeight="1" spans="1:11">
      <c r="A114" s="93"/>
      <c r="B114" s="125"/>
      <c r="C114" s="125"/>
      <c r="D114" s="124" t="s">
        <v>581</v>
      </c>
      <c r="E114" s="121"/>
      <c r="F114" s="121"/>
      <c r="G114" s="156"/>
      <c r="H114" s="157">
        <f>ROUND(H113,0)</f>
        <v>1219</v>
      </c>
      <c r="K114" s="132"/>
    </row>
    <row r="115" s="81" customFormat="1" ht="30.6" customHeight="1" spans="1:8">
      <c r="A115" s="93"/>
      <c r="B115" s="93"/>
      <c r="C115" s="93"/>
      <c r="D115" s="94"/>
      <c r="E115" s="95"/>
      <c r="F115" s="95"/>
      <c r="G115" s="96"/>
      <c r="H115" s="97"/>
    </row>
    <row r="116" s="83" customFormat="1" ht="24.95" customHeight="1" spans="1:9">
      <c r="A116" s="105" t="s">
        <v>980</v>
      </c>
      <c r="B116" s="105"/>
      <c r="C116" s="106" t="s">
        <v>981</v>
      </c>
      <c r="D116" s="106"/>
      <c r="E116" s="106"/>
      <c r="F116" s="106"/>
      <c r="G116" s="106"/>
      <c r="H116" s="106"/>
      <c r="I116" s="128"/>
    </row>
    <row r="117" s="84" customFormat="1" ht="18" customHeight="1" spans="4:8">
      <c r="D117" s="107"/>
      <c r="E117" s="108" t="s">
        <v>570</v>
      </c>
      <c r="F117" s="107">
        <v>1.5</v>
      </c>
      <c r="G117" s="108" t="s">
        <v>420</v>
      </c>
      <c r="H117" s="109"/>
    </row>
    <row r="118" s="85" customFormat="1" ht="15" customHeight="1" spans="2:8">
      <c r="B118" s="110" t="s">
        <v>194</v>
      </c>
      <c r="C118" s="110" t="s">
        <v>573</v>
      </c>
      <c r="D118" s="110" t="s">
        <v>574</v>
      </c>
      <c r="E118" s="110" t="s">
        <v>6</v>
      </c>
      <c r="F118" s="110" t="s">
        <v>575</v>
      </c>
      <c r="G118" s="110" t="s">
        <v>576</v>
      </c>
      <c r="H118" s="111" t="s">
        <v>577</v>
      </c>
    </row>
    <row r="119" ht="20.45" customHeight="1" spans="2:8">
      <c r="B119" s="112">
        <v>1.00999999046326</v>
      </c>
      <c r="C119" s="113" t="s">
        <v>463</v>
      </c>
      <c r="D119" s="112" t="s">
        <v>464</v>
      </c>
      <c r="E119" s="455" t="s">
        <v>420</v>
      </c>
      <c r="F119" s="112">
        <v>1</v>
      </c>
      <c r="G119" s="114">
        <f>'Basic Rates'!E131</f>
        <v>165</v>
      </c>
      <c r="H119" s="115">
        <f>G119*F119</f>
        <v>165</v>
      </c>
    </row>
    <row r="120" ht="20.45" customHeight="1" spans="2:8">
      <c r="B120" s="112">
        <v>1.01999998092651</v>
      </c>
      <c r="C120" s="113" t="s">
        <v>982</v>
      </c>
      <c r="D120" s="112" t="s">
        <v>329</v>
      </c>
      <c r="E120" s="455" t="s">
        <v>194</v>
      </c>
      <c r="F120" s="112">
        <v>18</v>
      </c>
      <c r="G120" s="114">
        <f>'Basic Rates'!E64</f>
        <v>0.55</v>
      </c>
      <c r="H120" s="115">
        <f>G120*F120</f>
        <v>9.9</v>
      </c>
    </row>
    <row r="121" ht="20.45" customHeight="1" spans="2:8">
      <c r="B121" s="112">
        <v>1.02999997138977</v>
      </c>
      <c r="C121" s="113" t="s">
        <v>76</v>
      </c>
      <c r="D121" s="112" t="s">
        <v>213</v>
      </c>
      <c r="E121" s="112" t="s">
        <v>175</v>
      </c>
      <c r="F121" s="112">
        <v>0.25</v>
      </c>
      <c r="G121" s="114">
        <f>'Basic Rates'!$J$11</f>
        <v>3500</v>
      </c>
      <c r="H121" s="115">
        <f>G121*F121</f>
        <v>875</v>
      </c>
    </row>
    <row r="122" ht="20.45" customHeight="1" spans="2:8">
      <c r="B122" s="112">
        <v>1.03999996185303</v>
      </c>
      <c r="C122" s="113" t="s">
        <v>208</v>
      </c>
      <c r="D122" s="112" t="s">
        <v>209</v>
      </c>
      <c r="E122" s="112" t="s">
        <v>175</v>
      </c>
      <c r="F122" s="112">
        <v>0.25</v>
      </c>
      <c r="G122" s="114">
        <f>'Basic Rates'!$J$10</f>
        <v>2300</v>
      </c>
      <c r="H122" s="115">
        <f>G122*F122</f>
        <v>575</v>
      </c>
    </row>
    <row r="123" ht="20.45" customHeight="1" spans="2:8">
      <c r="B123" s="129"/>
      <c r="C123" s="129"/>
      <c r="D123" s="116" t="s">
        <v>579</v>
      </c>
      <c r="E123" s="117">
        <f>$F$117</f>
        <v>1.5</v>
      </c>
      <c r="F123" s="117" t="str">
        <f>$G$117</f>
        <v>Pair</v>
      </c>
      <c r="G123" s="118"/>
      <c r="H123" s="115">
        <f>SUM(H119:H122)</f>
        <v>1624.9</v>
      </c>
    </row>
    <row r="124" ht="20.45" customHeight="1" spans="2:8">
      <c r="B124" s="129"/>
      <c r="C124" s="129"/>
      <c r="D124" s="116" t="s">
        <v>580</v>
      </c>
      <c r="E124" s="117" t="str">
        <f>$G$117</f>
        <v>Pair</v>
      </c>
      <c r="F124" s="117"/>
      <c r="G124" s="118"/>
      <c r="H124" s="115">
        <f>H123/F117</f>
        <v>1083.26666666667</v>
      </c>
    </row>
    <row r="125" s="81" customFormat="1" ht="15" customHeight="1" spans="1:11">
      <c r="A125" s="93"/>
      <c r="B125" s="125"/>
      <c r="C125" s="125"/>
      <c r="D125" s="124" t="s">
        <v>581</v>
      </c>
      <c r="E125" s="121"/>
      <c r="F125" s="121"/>
      <c r="G125" s="156"/>
      <c r="H125" s="157">
        <f>ROUND(H124,0)</f>
        <v>1083</v>
      </c>
      <c r="K125" s="132"/>
    </row>
    <row r="126" s="81" customFormat="1" ht="30.6" customHeight="1" spans="1:8">
      <c r="A126" s="93"/>
      <c r="B126" s="93"/>
      <c r="C126" s="93"/>
      <c r="D126" s="94"/>
      <c r="E126" s="95"/>
      <c r="F126" s="95"/>
      <c r="G126" s="96"/>
      <c r="H126" s="97"/>
    </row>
    <row r="127" s="83" customFormat="1" ht="24.95" customHeight="1" spans="1:9">
      <c r="A127" s="105" t="s">
        <v>983</v>
      </c>
      <c r="B127" s="105"/>
      <c r="C127" s="106" t="s">
        <v>984</v>
      </c>
      <c r="D127" s="106"/>
      <c r="E127" s="106"/>
      <c r="F127" s="106"/>
      <c r="G127" s="106"/>
      <c r="H127" s="106"/>
      <c r="I127" s="128"/>
    </row>
    <row r="128" s="84" customFormat="1" ht="18" customHeight="1" spans="4:8">
      <c r="D128" s="107"/>
      <c r="E128" s="108" t="s">
        <v>570</v>
      </c>
      <c r="F128" s="107">
        <v>1</v>
      </c>
      <c r="G128" s="108" t="s">
        <v>194</v>
      </c>
      <c r="H128" s="109"/>
    </row>
    <row r="129" s="85" customFormat="1" ht="15" customHeight="1" spans="2:8">
      <c r="B129" s="110" t="s">
        <v>194</v>
      </c>
      <c r="C129" s="110" t="s">
        <v>573</v>
      </c>
      <c r="D129" s="110" t="s">
        <v>574</v>
      </c>
      <c r="E129" s="110" t="s">
        <v>6</v>
      </c>
      <c r="F129" s="110" t="s">
        <v>575</v>
      </c>
      <c r="G129" s="110" t="s">
        <v>576</v>
      </c>
      <c r="H129" s="111" t="s">
        <v>577</v>
      </c>
    </row>
    <row r="130" ht="20.45" customHeight="1" spans="2:8">
      <c r="B130" s="112">
        <v>1.00999999046326</v>
      </c>
      <c r="C130" s="113" t="s">
        <v>346</v>
      </c>
      <c r="D130" s="112" t="s">
        <v>347</v>
      </c>
      <c r="E130" s="455" t="s">
        <v>194</v>
      </c>
      <c r="F130" s="112">
        <v>1</v>
      </c>
      <c r="G130" s="114">
        <f>'Basic Rates'!E73</f>
        <v>960</v>
      </c>
      <c r="H130" s="115">
        <f>G130*F130</f>
        <v>960</v>
      </c>
    </row>
    <row r="131" ht="20.45" customHeight="1" spans="2:8">
      <c r="B131" s="112">
        <f>B130+0.01</f>
        <v>1.01999999046326</v>
      </c>
      <c r="C131" s="113" t="s">
        <v>76</v>
      </c>
      <c r="D131" s="112" t="s">
        <v>213</v>
      </c>
      <c r="E131" s="455" t="s">
        <v>175</v>
      </c>
      <c r="F131" s="112">
        <v>0.5</v>
      </c>
      <c r="G131" s="114">
        <f>'Basic Rates'!$J$11</f>
        <v>3500</v>
      </c>
      <c r="H131" s="115">
        <f>G131*F131</f>
        <v>1750</v>
      </c>
    </row>
    <row r="132" ht="20.45" customHeight="1" spans="2:8">
      <c r="B132" s="112">
        <f>B131+0.01</f>
        <v>1.02999999046326</v>
      </c>
      <c r="C132" s="113" t="s">
        <v>208</v>
      </c>
      <c r="D132" s="112" t="s">
        <v>209</v>
      </c>
      <c r="E132" s="112" t="s">
        <v>175</v>
      </c>
      <c r="F132" s="112">
        <v>0.5</v>
      </c>
      <c r="G132" s="114">
        <f>'Basic Rates'!$J$10</f>
        <v>2300</v>
      </c>
      <c r="H132" s="115">
        <f>G132*F132</f>
        <v>1150</v>
      </c>
    </row>
    <row r="133" ht="20.45" customHeight="1" spans="2:8">
      <c r="B133" s="129"/>
      <c r="C133" s="129"/>
      <c r="D133" s="116" t="s">
        <v>579</v>
      </c>
      <c r="E133" s="117">
        <f>$F$128</f>
        <v>1</v>
      </c>
      <c r="F133" s="117" t="str">
        <f>$G$128</f>
        <v>No</v>
      </c>
      <c r="G133" s="118"/>
      <c r="H133" s="115">
        <f>SUM(H130:H132)</f>
        <v>3860</v>
      </c>
    </row>
    <row r="134" ht="20.45" customHeight="1" spans="2:8">
      <c r="B134" s="129"/>
      <c r="C134" s="129"/>
      <c r="D134" s="116" t="s">
        <v>580</v>
      </c>
      <c r="E134" s="117" t="str">
        <f>$G$128</f>
        <v>No</v>
      </c>
      <c r="F134" s="117"/>
      <c r="G134" s="118"/>
      <c r="H134" s="115">
        <f>H133/F128</f>
        <v>3860</v>
      </c>
    </row>
    <row r="135" s="81" customFormat="1" ht="15" customHeight="1" spans="1:11">
      <c r="A135" s="93"/>
      <c r="B135" s="125"/>
      <c r="C135" s="125"/>
      <c r="D135" s="124" t="s">
        <v>581</v>
      </c>
      <c r="E135" s="121"/>
      <c r="F135" s="121"/>
      <c r="G135" s="156"/>
      <c r="H135" s="157">
        <f>ROUND(H134,0)</f>
        <v>3860</v>
      </c>
      <c r="K135" s="132"/>
    </row>
    <row r="136" s="81" customFormat="1" ht="30.6" customHeight="1" spans="1:8">
      <c r="A136" s="93"/>
      <c r="B136" s="93"/>
      <c r="C136" s="93"/>
      <c r="D136" s="94"/>
      <c r="E136" s="95"/>
      <c r="F136" s="95"/>
      <c r="G136" s="96"/>
      <c r="H136" s="97"/>
    </row>
    <row r="137" s="83" customFormat="1" ht="24.95" customHeight="1" spans="1:9">
      <c r="A137" s="105" t="s">
        <v>985</v>
      </c>
      <c r="B137" s="105"/>
      <c r="C137" s="106" t="s">
        <v>251</v>
      </c>
      <c r="D137" s="106"/>
      <c r="E137" s="106"/>
      <c r="F137" s="106"/>
      <c r="G137" s="106"/>
      <c r="H137" s="106"/>
      <c r="I137" s="128"/>
    </row>
    <row r="138" s="84" customFormat="1" ht="18" customHeight="1" spans="4:8">
      <c r="D138" s="107"/>
      <c r="E138" s="108" t="s">
        <v>570</v>
      </c>
      <c r="F138" s="107">
        <v>4</v>
      </c>
      <c r="G138" s="108" t="s">
        <v>194</v>
      </c>
      <c r="H138" s="109"/>
    </row>
    <row r="139" s="85" customFormat="1" ht="15" customHeight="1" spans="2:8">
      <c r="B139" s="110" t="s">
        <v>194</v>
      </c>
      <c r="C139" s="110" t="s">
        <v>573</v>
      </c>
      <c r="D139" s="110" t="s">
        <v>574</v>
      </c>
      <c r="E139" s="110" t="s">
        <v>6</v>
      </c>
      <c r="F139" s="110" t="s">
        <v>575</v>
      </c>
      <c r="G139" s="110" t="s">
        <v>576</v>
      </c>
      <c r="H139" s="111" t="s">
        <v>577</v>
      </c>
    </row>
    <row r="140" ht="20.45" customHeight="1" spans="2:8">
      <c r="B140" s="112">
        <v>1.00999999046326</v>
      </c>
      <c r="C140" s="113" t="s">
        <v>251</v>
      </c>
      <c r="D140" s="112" t="s">
        <v>252</v>
      </c>
      <c r="E140" s="455" t="s">
        <v>194</v>
      </c>
      <c r="F140" s="112">
        <v>4</v>
      </c>
      <c r="G140" s="114">
        <f>'Basic Rates'!E28</f>
        <v>55</v>
      </c>
      <c r="H140" s="115">
        <f>G140*F140</f>
        <v>220</v>
      </c>
    </row>
    <row r="141" ht="20.45" customHeight="1" spans="2:8">
      <c r="B141" s="112">
        <v>1.01999998092651</v>
      </c>
      <c r="C141" s="113" t="s">
        <v>986</v>
      </c>
      <c r="D141" s="112" t="s">
        <v>235</v>
      </c>
      <c r="E141" s="455" t="s">
        <v>194</v>
      </c>
      <c r="F141" s="112">
        <v>16</v>
      </c>
      <c r="G141" s="114">
        <f>'Basic Rates'!E19</f>
        <v>1.3</v>
      </c>
      <c r="H141" s="115">
        <f>G141*F141</f>
        <v>20.8</v>
      </c>
    </row>
    <row r="142" ht="20.45" customHeight="1" spans="2:8">
      <c r="B142" s="112">
        <v>1.02999997138977</v>
      </c>
      <c r="C142" s="113" t="s">
        <v>76</v>
      </c>
      <c r="D142" s="112" t="s">
        <v>213</v>
      </c>
      <c r="E142" s="112" t="s">
        <v>175</v>
      </c>
      <c r="F142" s="112">
        <v>0.25</v>
      </c>
      <c r="G142" s="114">
        <f>'Basic Rates'!$J$11</f>
        <v>3500</v>
      </c>
      <c r="H142" s="115">
        <f>G142*F142</f>
        <v>875</v>
      </c>
    </row>
    <row r="143" ht="20.45" customHeight="1" spans="2:8">
      <c r="B143" s="112">
        <v>1.03999996185303</v>
      </c>
      <c r="C143" s="113" t="s">
        <v>208</v>
      </c>
      <c r="D143" s="112" t="s">
        <v>209</v>
      </c>
      <c r="E143" s="112" t="s">
        <v>175</v>
      </c>
      <c r="F143" s="112">
        <v>0.25</v>
      </c>
      <c r="G143" s="114">
        <f>'Basic Rates'!$J$10</f>
        <v>2300</v>
      </c>
      <c r="H143" s="115">
        <f>G143*F143</f>
        <v>575</v>
      </c>
    </row>
    <row r="144" ht="20.45" customHeight="1" spans="2:8">
      <c r="B144" s="129"/>
      <c r="C144" s="129"/>
      <c r="D144" s="116" t="s">
        <v>579</v>
      </c>
      <c r="E144" s="117">
        <f>$F$138</f>
        <v>4</v>
      </c>
      <c r="F144" s="117" t="str">
        <f>$G$138</f>
        <v>No</v>
      </c>
      <c r="G144" s="118"/>
      <c r="H144" s="115">
        <f>SUM(H140:H143)</f>
        <v>1690.8</v>
      </c>
    </row>
    <row r="145" ht="20.45" customHeight="1" spans="2:8">
      <c r="B145" s="129"/>
      <c r="C145" s="129"/>
      <c r="D145" s="116" t="s">
        <v>580</v>
      </c>
      <c r="E145" s="117" t="str">
        <f>$G$138</f>
        <v>No</v>
      </c>
      <c r="F145" s="117"/>
      <c r="G145" s="118"/>
      <c r="H145" s="115">
        <f>H144/F138</f>
        <v>422.7</v>
      </c>
    </row>
    <row r="146" s="81" customFormat="1" ht="15" customHeight="1" spans="1:11">
      <c r="A146" s="93"/>
      <c r="B146" s="125"/>
      <c r="C146" s="125"/>
      <c r="D146" s="124" t="s">
        <v>581</v>
      </c>
      <c r="E146" s="121"/>
      <c r="F146" s="121"/>
      <c r="G146" s="156"/>
      <c r="H146" s="157">
        <f>ROUND(H145,0)</f>
        <v>423</v>
      </c>
      <c r="K146" s="132"/>
    </row>
    <row r="147" s="81" customFormat="1" ht="30.6" customHeight="1" spans="1:8">
      <c r="A147" s="93"/>
      <c r="B147" s="93"/>
      <c r="C147" s="93"/>
      <c r="D147" s="94"/>
      <c r="E147" s="95"/>
      <c r="F147" s="95"/>
      <c r="G147" s="96"/>
      <c r="H147" s="97"/>
    </row>
    <row r="148" s="83" customFormat="1" ht="24.95" customHeight="1" spans="1:9">
      <c r="A148" s="105" t="s">
        <v>987</v>
      </c>
      <c r="B148" s="105"/>
      <c r="C148" s="106" t="s">
        <v>988</v>
      </c>
      <c r="D148" s="106"/>
      <c r="E148" s="106"/>
      <c r="F148" s="106"/>
      <c r="G148" s="106"/>
      <c r="H148" s="106"/>
      <c r="I148" s="128"/>
    </row>
    <row r="149" s="84" customFormat="1" ht="18" customHeight="1" spans="4:8">
      <c r="D149" s="107"/>
      <c r="E149" s="108" t="s">
        <v>570</v>
      </c>
      <c r="F149" s="107">
        <v>1</v>
      </c>
      <c r="G149" s="108" t="s">
        <v>194</v>
      </c>
      <c r="H149" s="109"/>
    </row>
    <row r="150" s="85" customFormat="1" ht="15" customHeight="1" spans="2:8">
      <c r="B150" s="110" t="s">
        <v>194</v>
      </c>
      <c r="C150" s="110" t="s">
        <v>573</v>
      </c>
      <c r="D150" s="110" t="s">
        <v>574</v>
      </c>
      <c r="E150" s="110" t="s">
        <v>6</v>
      </c>
      <c r="F150" s="110" t="s">
        <v>575</v>
      </c>
      <c r="G150" s="110" t="s">
        <v>576</v>
      </c>
      <c r="H150" s="111" t="s">
        <v>577</v>
      </c>
    </row>
    <row r="151" ht="20.45" customHeight="1" spans="2:8">
      <c r="B151" s="112">
        <v>1.00999999046326</v>
      </c>
      <c r="C151" s="113" t="s">
        <v>282</v>
      </c>
      <c r="D151" s="112" t="s">
        <v>283</v>
      </c>
      <c r="E151" s="455" t="s">
        <v>194</v>
      </c>
      <c r="F151" s="112">
        <v>1</v>
      </c>
      <c r="G151" s="114">
        <f>'Basic Rates'!E43</f>
        <v>1850</v>
      </c>
      <c r="H151" s="115">
        <f>G151*F151</f>
        <v>1850</v>
      </c>
    </row>
    <row r="152" ht="20.45" customHeight="1" spans="2:8">
      <c r="B152" s="112">
        <v>1.01999998092651</v>
      </c>
      <c r="C152" s="113" t="s">
        <v>979</v>
      </c>
      <c r="D152" s="112" t="s">
        <v>237</v>
      </c>
      <c r="E152" s="455" t="s">
        <v>194</v>
      </c>
      <c r="F152" s="112">
        <v>8</v>
      </c>
      <c r="G152" s="114">
        <f>'Basic Rates'!E20</f>
        <v>7</v>
      </c>
      <c r="H152" s="115">
        <f>G152*F152</f>
        <v>56</v>
      </c>
    </row>
    <row r="153" ht="20.45" customHeight="1" spans="2:8">
      <c r="B153" s="112">
        <v>1.02999997138977</v>
      </c>
      <c r="C153" s="113" t="s">
        <v>76</v>
      </c>
      <c r="D153" s="112" t="s">
        <v>213</v>
      </c>
      <c r="E153" s="112" t="s">
        <v>175</v>
      </c>
      <c r="F153" s="112">
        <v>0.25</v>
      </c>
      <c r="G153" s="114">
        <f>'Basic Rates'!$J$11</f>
        <v>3500</v>
      </c>
      <c r="H153" s="115">
        <f>G153*F153</f>
        <v>875</v>
      </c>
    </row>
    <row r="154" ht="20.45" customHeight="1" spans="2:8">
      <c r="B154" s="112">
        <v>1.03999996185303</v>
      </c>
      <c r="C154" s="113" t="s">
        <v>208</v>
      </c>
      <c r="D154" s="112" t="s">
        <v>209</v>
      </c>
      <c r="E154" s="112" t="s">
        <v>175</v>
      </c>
      <c r="F154" s="112">
        <v>0.25</v>
      </c>
      <c r="G154" s="114">
        <f>'Basic Rates'!$J$10</f>
        <v>2300</v>
      </c>
      <c r="H154" s="115">
        <f>G154*F154</f>
        <v>575</v>
      </c>
    </row>
    <row r="155" ht="20.45" customHeight="1" spans="2:8">
      <c r="B155" s="129"/>
      <c r="C155" s="129"/>
      <c r="D155" s="116" t="s">
        <v>579</v>
      </c>
      <c r="E155" s="117">
        <f>$F$149</f>
        <v>1</v>
      </c>
      <c r="F155" s="117" t="str">
        <f>$G$149</f>
        <v>No</v>
      </c>
      <c r="G155" s="118"/>
      <c r="H155" s="115">
        <f>SUM(H151:H154)</f>
        <v>3356</v>
      </c>
    </row>
    <row r="156" ht="20.45" customHeight="1" spans="2:8">
      <c r="B156" s="129"/>
      <c r="C156" s="129"/>
      <c r="D156" s="116" t="s">
        <v>580</v>
      </c>
      <c r="E156" s="117" t="str">
        <f>$G$149</f>
        <v>No</v>
      </c>
      <c r="F156" s="117"/>
      <c r="G156" s="118"/>
      <c r="H156" s="115">
        <f>H155/F149</f>
        <v>3356</v>
      </c>
    </row>
    <row r="157" s="81" customFormat="1" ht="15" customHeight="1" spans="1:11">
      <c r="A157" s="93"/>
      <c r="B157" s="125"/>
      <c r="C157" s="125"/>
      <c r="D157" s="124" t="s">
        <v>581</v>
      </c>
      <c r="E157" s="121"/>
      <c r="F157" s="121"/>
      <c r="G157" s="156"/>
      <c r="H157" s="157">
        <f>ROUND(H156,0)</f>
        <v>3356</v>
      </c>
      <c r="K157" s="132"/>
    </row>
    <row r="158" s="81" customFormat="1" ht="30.6" customHeight="1" spans="1:8">
      <c r="A158" s="93"/>
      <c r="B158" s="93"/>
      <c r="C158" s="93"/>
      <c r="D158" s="94"/>
      <c r="E158" s="95"/>
      <c r="F158" s="95"/>
      <c r="G158" s="96"/>
      <c r="H158" s="97"/>
    </row>
    <row r="159" s="83" customFormat="1" ht="24.95" customHeight="1" spans="1:9">
      <c r="A159" s="105" t="s">
        <v>989</v>
      </c>
      <c r="B159" s="105"/>
      <c r="C159" s="106" t="s">
        <v>990</v>
      </c>
      <c r="D159" s="106"/>
      <c r="E159" s="106"/>
      <c r="F159" s="106"/>
      <c r="G159" s="106"/>
      <c r="H159" s="106"/>
      <c r="I159" s="128"/>
    </row>
    <row r="160" s="84" customFormat="1" ht="18" customHeight="1" spans="4:8">
      <c r="D160" s="107"/>
      <c r="E160" s="108" t="s">
        <v>570</v>
      </c>
      <c r="F160" s="107">
        <v>1</v>
      </c>
      <c r="G160" s="108" t="s">
        <v>194</v>
      </c>
      <c r="H160" s="109"/>
    </row>
    <row r="161" s="85" customFormat="1" ht="15" customHeight="1" spans="2:8">
      <c r="B161" s="110" t="s">
        <v>194</v>
      </c>
      <c r="C161" s="110" t="s">
        <v>573</v>
      </c>
      <c r="D161" s="110" t="s">
        <v>574</v>
      </c>
      <c r="E161" s="110" t="s">
        <v>6</v>
      </c>
      <c r="F161" s="110" t="s">
        <v>575</v>
      </c>
      <c r="G161" s="110" t="s">
        <v>576</v>
      </c>
      <c r="H161" s="111" t="s">
        <v>577</v>
      </c>
    </row>
    <row r="162" ht="20.45" customHeight="1" spans="2:8">
      <c r="B162" s="112">
        <v>1.00999999046326</v>
      </c>
      <c r="C162" s="113" t="s">
        <v>517</v>
      </c>
      <c r="D162" s="112" t="s">
        <v>518</v>
      </c>
      <c r="E162" s="455" t="s">
        <v>194</v>
      </c>
      <c r="F162" s="112">
        <v>1</v>
      </c>
      <c r="G162" s="114">
        <f>'Basic Rates'!E157</f>
        <v>145</v>
      </c>
      <c r="H162" s="115">
        <f>G162*F162</f>
        <v>145</v>
      </c>
    </row>
    <row r="163" ht="20.45" customHeight="1" spans="2:8">
      <c r="B163" s="112">
        <v>1.01999998092651</v>
      </c>
      <c r="C163" s="113" t="s">
        <v>986</v>
      </c>
      <c r="D163" s="112" t="s">
        <v>235</v>
      </c>
      <c r="E163" s="455" t="s">
        <v>194</v>
      </c>
      <c r="F163" s="112">
        <v>10</v>
      </c>
      <c r="G163" s="114">
        <f>'Basic Rates'!$E$19</f>
        <v>1.3</v>
      </c>
      <c r="H163" s="115">
        <f>G163*F163</f>
        <v>13</v>
      </c>
    </row>
    <row r="164" ht="20.45" customHeight="1" spans="2:8">
      <c r="B164" s="112">
        <v>1.02999997138977</v>
      </c>
      <c r="C164" s="113" t="s">
        <v>76</v>
      </c>
      <c r="D164" s="112" t="s">
        <v>213</v>
      </c>
      <c r="E164" s="112" t="s">
        <v>175</v>
      </c>
      <c r="F164" s="112">
        <v>0.063</v>
      </c>
      <c r="G164" s="114">
        <f>'Basic Rates'!$J$11</f>
        <v>3500</v>
      </c>
      <c r="H164" s="115">
        <f>G164*F164</f>
        <v>220.5</v>
      </c>
    </row>
    <row r="165" ht="20.45" customHeight="1" spans="2:8">
      <c r="B165" s="112">
        <v>1.03999996185303</v>
      </c>
      <c r="C165" s="113" t="s">
        <v>208</v>
      </c>
      <c r="D165" s="112" t="s">
        <v>209</v>
      </c>
      <c r="E165" s="112" t="s">
        <v>175</v>
      </c>
      <c r="F165" s="112">
        <v>0.063</v>
      </c>
      <c r="G165" s="114">
        <f>'Basic Rates'!$J$10</f>
        <v>2300</v>
      </c>
      <c r="H165" s="115">
        <f>G165*F165</f>
        <v>144.9</v>
      </c>
    </row>
    <row r="166" ht="20.45" customHeight="1" spans="2:8">
      <c r="B166" s="129"/>
      <c r="C166" s="129"/>
      <c r="D166" s="116" t="s">
        <v>579</v>
      </c>
      <c r="E166" s="117">
        <f>$F$160</f>
        <v>1</v>
      </c>
      <c r="F166" s="117" t="str">
        <f>$G$160</f>
        <v>No</v>
      </c>
      <c r="G166" s="118"/>
      <c r="H166" s="115">
        <f>SUM(H162:H165)</f>
        <v>523.4</v>
      </c>
    </row>
    <row r="167" ht="20.45" customHeight="1" spans="2:8">
      <c r="B167" s="129"/>
      <c r="C167" s="129"/>
      <c r="D167" s="116" t="s">
        <v>580</v>
      </c>
      <c r="E167" s="117" t="str">
        <f>$G$160</f>
        <v>No</v>
      </c>
      <c r="F167" s="117"/>
      <c r="G167" s="118"/>
      <c r="H167" s="115">
        <f>H166/F160</f>
        <v>523.4</v>
      </c>
    </row>
    <row r="168" s="81" customFormat="1" ht="15" customHeight="1" spans="1:11">
      <c r="A168" s="93"/>
      <c r="B168" s="125"/>
      <c r="C168" s="125"/>
      <c r="D168" s="124" t="s">
        <v>581</v>
      </c>
      <c r="E168" s="121"/>
      <c r="F168" s="121"/>
      <c r="G168" s="156"/>
      <c r="H168" s="157">
        <f>ROUND(H167,0)</f>
        <v>523</v>
      </c>
      <c r="K168" s="132"/>
    </row>
    <row r="169" s="81" customFormat="1" ht="30.6" customHeight="1" spans="1:8">
      <c r="A169" s="93"/>
      <c r="B169" s="93"/>
      <c r="C169" s="93"/>
      <c r="D169" s="94"/>
      <c r="E169" s="95"/>
      <c r="F169" s="95"/>
      <c r="G169" s="96"/>
      <c r="H169" s="97"/>
    </row>
    <row r="170" s="83" customFormat="1" ht="24.95" customHeight="1" spans="1:9">
      <c r="A170" s="105" t="s">
        <v>991</v>
      </c>
      <c r="B170" s="105"/>
      <c r="C170" s="106" t="s">
        <v>992</v>
      </c>
      <c r="D170" s="106"/>
      <c r="E170" s="106"/>
      <c r="F170" s="106"/>
      <c r="G170" s="106"/>
      <c r="H170" s="106"/>
      <c r="I170" s="128"/>
    </row>
    <row r="171" s="84" customFormat="1" ht="18" customHeight="1" spans="4:8">
      <c r="D171" s="107"/>
      <c r="E171" s="108" t="s">
        <v>570</v>
      </c>
      <c r="F171" s="107">
        <v>1</v>
      </c>
      <c r="G171" s="108" t="s">
        <v>194</v>
      </c>
      <c r="H171" s="109"/>
    </row>
    <row r="172" s="85" customFormat="1" ht="15" customHeight="1" spans="2:8">
      <c r="B172" s="110" t="s">
        <v>194</v>
      </c>
      <c r="C172" s="110" t="s">
        <v>573</v>
      </c>
      <c r="D172" s="110" t="s">
        <v>574</v>
      </c>
      <c r="E172" s="110" t="s">
        <v>6</v>
      </c>
      <c r="F172" s="110" t="s">
        <v>575</v>
      </c>
      <c r="G172" s="110" t="s">
        <v>576</v>
      </c>
      <c r="H172" s="111" t="s">
        <v>577</v>
      </c>
    </row>
    <row r="173" ht="20.45" customHeight="1" spans="2:8">
      <c r="B173" s="112">
        <v>1.00999999046326</v>
      </c>
      <c r="C173" s="113" t="s">
        <v>192</v>
      </c>
      <c r="D173" s="112" t="s">
        <v>193</v>
      </c>
      <c r="E173" s="455" t="s">
        <v>194</v>
      </c>
      <c r="F173" s="112">
        <v>1</v>
      </c>
      <c r="G173" s="114">
        <f>'Basic Rates'!E7</f>
        <v>75</v>
      </c>
      <c r="H173" s="115">
        <f>G173*F173</f>
        <v>75</v>
      </c>
    </row>
    <row r="174" ht="20.45" customHeight="1" spans="2:8">
      <c r="B174" s="112">
        <v>1.01999998092651</v>
      </c>
      <c r="C174" s="113" t="s">
        <v>986</v>
      </c>
      <c r="D174" s="112" t="s">
        <v>235</v>
      </c>
      <c r="E174" s="455" t="s">
        <v>194</v>
      </c>
      <c r="F174" s="112">
        <v>8</v>
      </c>
      <c r="G174" s="114">
        <f>'Basic Rates'!$E$19</f>
        <v>1.3</v>
      </c>
      <c r="H174" s="115">
        <f>G174*F174</f>
        <v>10.4</v>
      </c>
    </row>
    <row r="175" ht="20.45" customHeight="1" spans="2:8">
      <c r="B175" s="112">
        <v>1.02999997138977</v>
      </c>
      <c r="C175" s="113" t="s">
        <v>76</v>
      </c>
      <c r="D175" s="112" t="s">
        <v>213</v>
      </c>
      <c r="E175" s="112" t="s">
        <v>175</v>
      </c>
      <c r="F175" s="112">
        <v>0.063</v>
      </c>
      <c r="G175" s="114">
        <f>'Basic Rates'!$J$11</f>
        <v>3500</v>
      </c>
      <c r="H175" s="115">
        <f>G175*F175</f>
        <v>220.5</v>
      </c>
    </row>
    <row r="176" ht="20.45" customHeight="1" spans="2:8">
      <c r="B176" s="112">
        <v>1.03999996185303</v>
      </c>
      <c r="C176" s="113" t="s">
        <v>208</v>
      </c>
      <c r="D176" s="112" t="s">
        <v>209</v>
      </c>
      <c r="E176" s="112" t="s">
        <v>175</v>
      </c>
      <c r="F176" s="112">
        <v>0.063</v>
      </c>
      <c r="G176" s="114">
        <f>'Basic Rates'!$J$10</f>
        <v>2300</v>
      </c>
      <c r="H176" s="115">
        <f>G176*F176</f>
        <v>144.9</v>
      </c>
    </row>
    <row r="177" ht="20.45" customHeight="1" spans="2:8">
      <c r="B177" s="129"/>
      <c r="C177" s="129"/>
      <c r="D177" s="116" t="s">
        <v>579</v>
      </c>
      <c r="E177" s="117">
        <f>F171</f>
        <v>1</v>
      </c>
      <c r="F177" s="117" t="str">
        <f>$G$171</f>
        <v>No</v>
      </c>
      <c r="G177" s="118"/>
      <c r="H177" s="115">
        <f>SUM(H173:H176)</f>
        <v>450.8</v>
      </c>
    </row>
    <row r="178" ht="20.45" customHeight="1" spans="2:8">
      <c r="B178" s="129"/>
      <c r="C178" s="129"/>
      <c r="D178" s="116" t="s">
        <v>580</v>
      </c>
      <c r="E178" s="117" t="str">
        <f>$G$171</f>
        <v>No</v>
      </c>
      <c r="F178" s="117"/>
      <c r="G178" s="118"/>
      <c r="H178" s="115">
        <f>H177/F171</f>
        <v>450.8</v>
      </c>
    </row>
    <row r="179" s="81" customFormat="1" ht="15" customHeight="1" spans="1:11">
      <c r="A179" s="93"/>
      <c r="B179" s="125"/>
      <c r="C179" s="125"/>
      <c r="D179" s="124" t="s">
        <v>581</v>
      </c>
      <c r="E179" s="121"/>
      <c r="F179" s="121"/>
      <c r="G179" s="156"/>
      <c r="H179" s="157">
        <f>ROUND(H178,0)</f>
        <v>451</v>
      </c>
      <c r="K179" s="132"/>
    </row>
    <row r="180" s="81" customFormat="1" ht="30.6" customHeight="1" spans="1:8">
      <c r="A180" s="93"/>
      <c r="B180" s="93"/>
      <c r="C180" s="93"/>
      <c r="D180" s="94"/>
      <c r="E180" s="95"/>
      <c r="F180" s="95"/>
      <c r="G180" s="96"/>
      <c r="H180" s="97"/>
    </row>
    <row r="181" s="83" customFormat="1" ht="24.95" customHeight="1" spans="1:9">
      <c r="A181" s="105" t="s">
        <v>993</v>
      </c>
      <c r="B181" s="105"/>
      <c r="C181" s="106" t="s">
        <v>249</v>
      </c>
      <c r="D181" s="106"/>
      <c r="E181" s="106"/>
      <c r="F181" s="106"/>
      <c r="G181" s="106"/>
      <c r="H181" s="106"/>
      <c r="I181" s="128"/>
    </row>
    <row r="182" s="84" customFormat="1" ht="18" customHeight="1" spans="4:8">
      <c r="D182" s="107"/>
      <c r="E182" s="108" t="s">
        <v>570</v>
      </c>
      <c r="F182" s="107">
        <v>6</v>
      </c>
      <c r="G182" s="108" t="s">
        <v>194</v>
      </c>
      <c r="H182" s="109"/>
    </row>
    <row r="183" s="85" customFormat="1" ht="15" customHeight="1" spans="2:8">
      <c r="B183" s="110" t="s">
        <v>194</v>
      </c>
      <c r="C183" s="110" t="s">
        <v>573</v>
      </c>
      <c r="D183" s="110" t="s">
        <v>574</v>
      </c>
      <c r="E183" s="110" t="s">
        <v>6</v>
      </c>
      <c r="F183" s="110" t="s">
        <v>575</v>
      </c>
      <c r="G183" s="110" t="s">
        <v>576</v>
      </c>
      <c r="H183" s="111" t="s">
        <v>577</v>
      </c>
    </row>
    <row r="184" ht="20.45" customHeight="1" spans="2:8">
      <c r="B184" s="112">
        <v>1.00999999046326</v>
      </c>
      <c r="C184" s="113" t="s">
        <v>249</v>
      </c>
      <c r="D184" s="112" t="s">
        <v>250</v>
      </c>
      <c r="E184" s="455" t="s">
        <v>194</v>
      </c>
      <c r="F184" s="112">
        <v>6</v>
      </c>
      <c r="G184" s="114">
        <f>'Basic Rates'!E27</f>
        <v>55</v>
      </c>
      <c r="H184" s="115">
        <f>G184*F184</f>
        <v>330</v>
      </c>
    </row>
    <row r="185" ht="20.45" customHeight="1" spans="2:8">
      <c r="B185" s="112">
        <v>1.01999998092651</v>
      </c>
      <c r="C185" s="113" t="s">
        <v>986</v>
      </c>
      <c r="D185" s="112" t="s">
        <v>235</v>
      </c>
      <c r="E185" s="455" t="s">
        <v>194</v>
      </c>
      <c r="F185" s="112">
        <v>24</v>
      </c>
      <c r="G185" s="114">
        <f>'Basic Rates'!$E$19</f>
        <v>1.3</v>
      </c>
      <c r="H185" s="115">
        <f>G185*F185</f>
        <v>31.2</v>
      </c>
    </row>
    <row r="186" ht="20.45" customHeight="1" spans="2:8">
      <c r="B186" s="112">
        <v>1.02999997138977</v>
      </c>
      <c r="C186" s="113" t="s">
        <v>76</v>
      </c>
      <c r="D186" s="112" t="s">
        <v>213</v>
      </c>
      <c r="E186" s="112" t="s">
        <v>175</v>
      </c>
      <c r="F186" s="112">
        <v>0.5</v>
      </c>
      <c r="G186" s="114">
        <f>'Basic Rates'!$J$11</f>
        <v>3500</v>
      </c>
      <c r="H186" s="115">
        <f>G186*F186</f>
        <v>1750</v>
      </c>
    </row>
    <row r="187" ht="20.45" customHeight="1" spans="2:8">
      <c r="B187" s="112">
        <v>1.03999996185303</v>
      </c>
      <c r="C187" s="113" t="s">
        <v>208</v>
      </c>
      <c r="D187" s="112" t="s">
        <v>209</v>
      </c>
      <c r="E187" s="112" t="s">
        <v>175</v>
      </c>
      <c r="F187" s="112">
        <v>0.5</v>
      </c>
      <c r="G187" s="114">
        <f>'Basic Rates'!$J$10</f>
        <v>2300</v>
      </c>
      <c r="H187" s="115">
        <f>G187*F187</f>
        <v>1150</v>
      </c>
    </row>
    <row r="188" ht="20.45" customHeight="1" spans="2:8">
      <c r="B188" s="129"/>
      <c r="C188" s="129"/>
      <c r="D188" s="116" t="s">
        <v>579</v>
      </c>
      <c r="E188" s="117">
        <f>$F$182</f>
        <v>6</v>
      </c>
      <c r="F188" s="117" t="str">
        <f>$G$182</f>
        <v>No</v>
      </c>
      <c r="G188" s="118"/>
      <c r="H188" s="115">
        <f>SUM(H184:H187)</f>
        <v>3261.2</v>
      </c>
    </row>
    <row r="189" ht="20.45" customHeight="1" spans="2:8">
      <c r="B189" s="129"/>
      <c r="C189" s="129"/>
      <c r="D189" s="116" t="s">
        <v>580</v>
      </c>
      <c r="E189" s="117" t="str">
        <f>$G$182</f>
        <v>No</v>
      </c>
      <c r="F189" s="117"/>
      <c r="G189" s="118"/>
      <c r="H189" s="115">
        <f>H188/F182</f>
        <v>543.533333333333</v>
      </c>
    </row>
    <row r="190" s="81" customFormat="1" ht="15" customHeight="1" spans="1:11">
      <c r="A190" s="93"/>
      <c r="B190" s="125"/>
      <c r="C190" s="125"/>
      <c r="D190" s="124" t="s">
        <v>581</v>
      </c>
      <c r="E190" s="121"/>
      <c r="F190" s="121"/>
      <c r="G190" s="156"/>
      <c r="H190" s="157">
        <f>ROUND(H189,0)</f>
        <v>544</v>
      </c>
      <c r="K190" s="132"/>
    </row>
    <row r="191" s="81" customFormat="1" ht="30.6" customHeight="1" spans="1:8">
      <c r="A191" s="93"/>
      <c r="B191" s="93"/>
      <c r="C191" s="93"/>
      <c r="D191" s="94"/>
      <c r="E191" s="95"/>
      <c r="F191" s="95"/>
      <c r="G191" s="96"/>
      <c r="H191" s="97"/>
    </row>
    <row r="192" s="83" customFormat="1" ht="24.95" customHeight="1" spans="1:9">
      <c r="A192" s="105" t="s">
        <v>994</v>
      </c>
      <c r="B192" s="105"/>
      <c r="C192" s="106" t="s">
        <v>995</v>
      </c>
      <c r="D192" s="106"/>
      <c r="E192" s="106"/>
      <c r="F192" s="106"/>
      <c r="G192" s="106"/>
      <c r="H192" s="106"/>
      <c r="I192" s="128"/>
    </row>
    <row r="193" s="84" customFormat="1" ht="18" customHeight="1" spans="4:8">
      <c r="D193" s="107"/>
      <c r="E193" s="108" t="s">
        <v>570</v>
      </c>
      <c r="F193" s="107">
        <v>6</v>
      </c>
      <c r="G193" s="108" t="s">
        <v>194</v>
      </c>
      <c r="H193" s="109"/>
    </row>
    <row r="194" s="85" customFormat="1" ht="15" customHeight="1" spans="2:8">
      <c r="B194" s="110" t="s">
        <v>194</v>
      </c>
      <c r="C194" s="110" t="s">
        <v>573</v>
      </c>
      <c r="D194" s="110" t="s">
        <v>574</v>
      </c>
      <c r="E194" s="110" t="s">
        <v>6</v>
      </c>
      <c r="F194" s="110" t="s">
        <v>575</v>
      </c>
      <c r="G194" s="110" t="s">
        <v>576</v>
      </c>
      <c r="H194" s="111" t="s">
        <v>577</v>
      </c>
    </row>
    <row r="195" ht="20.45" customHeight="1" spans="2:8">
      <c r="B195" s="112">
        <v>1.00999999046326</v>
      </c>
      <c r="C195" s="113" t="s">
        <v>223</v>
      </c>
      <c r="D195" s="112" t="s">
        <v>224</v>
      </c>
      <c r="E195" s="455" t="s">
        <v>194</v>
      </c>
      <c r="F195" s="112">
        <v>6</v>
      </c>
      <c r="G195" s="114">
        <f>'Basic Rates'!E14</f>
        <v>45</v>
      </c>
      <c r="H195" s="115">
        <f>G195*F195</f>
        <v>270</v>
      </c>
    </row>
    <row r="196" ht="20.45" customHeight="1" spans="2:8">
      <c r="B196" s="112">
        <v>1.01999998092651</v>
      </c>
      <c r="C196" s="113" t="s">
        <v>986</v>
      </c>
      <c r="D196" s="112" t="s">
        <v>235</v>
      </c>
      <c r="E196" s="455" t="s">
        <v>194</v>
      </c>
      <c r="F196" s="112">
        <v>24</v>
      </c>
      <c r="G196" s="114">
        <f>'Basic Rates'!$E$19</f>
        <v>1.3</v>
      </c>
      <c r="H196" s="115">
        <f>G196*F196</f>
        <v>31.2</v>
      </c>
    </row>
    <row r="197" ht="20.45" customHeight="1" spans="2:8">
      <c r="B197" s="112">
        <v>1.02999997138977</v>
      </c>
      <c r="C197" s="113" t="s">
        <v>76</v>
      </c>
      <c r="D197" s="112" t="s">
        <v>213</v>
      </c>
      <c r="E197" s="112" t="s">
        <v>175</v>
      </c>
      <c r="F197" s="112">
        <v>0.5</v>
      </c>
      <c r="G197" s="114">
        <f>'Basic Rates'!$J$11</f>
        <v>3500</v>
      </c>
      <c r="H197" s="115">
        <f>G197*F197</f>
        <v>1750</v>
      </c>
    </row>
    <row r="198" ht="20.45" customHeight="1" spans="2:8">
      <c r="B198" s="112">
        <v>1.03999996185303</v>
      </c>
      <c r="C198" s="113" t="s">
        <v>208</v>
      </c>
      <c r="D198" s="112" t="s">
        <v>209</v>
      </c>
      <c r="E198" s="112" t="s">
        <v>175</v>
      </c>
      <c r="F198" s="112">
        <v>0.5</v>
      </c>
      <c r="G198" s="114">
        <f>'Basic Rates'!$J$10</f>
        <v>2300</v>
      </c>
      <c r="H198" s="115">
        <f>G198*F198</f>
        <v>1150</v>
      </c>
    </row>
    <row r="199" ht="20.45" customHeight="1" spans="2:8">
      <c r="B199" s="129"/>
      <c r="C199" s="129"/>
      <c r="D199" s="116" t="s">
        <v>579</v>
      </c>
      <c r="E199" s="117">
        <f>$F$193</f>
        <v>6</v>
      </c>
      <c r="F199" s="117" t="str">
        <f>$G$193</f>
        <v>No</v>
      </c>
      <c r="G199" s="118"/>
      <c r="H199" s="115">
        <f>SUM(H195:H198)</f>
        <v>3201.2</v>
      </c>
    </row>
    <row r="200" ht="20.45" customHeight="1" spans="2:8">
      <c r="B200" s="129"/>
      <c r="C200" s="129"/>
      <c r="D200" s="116" t="s">
        <v>580</v>
      </c>
      <c r="E200" s="117" t="str">
        <f>$G$193</f>
        <v>No</v>
      </c>
      <c r="F200" s="117"/>
      <c r="G200" s="118"/>
      <c r="H200" s="115">
        <f>H199/F193</f>
        <v>533.533333333333</v>
      </c>
    </row>
    <row r="201" s="81" customFormat="1" ht="15" customHeight="1" spans="1:11">
      <c r="A201" s="93"/>
      <c r="B201" s="125"/>
      <c r="C201" s="125"/>
      <c r="D201" s="124" t="s">
        <v>581</v>
      </c>
      <c r="E201" s="121"/>
      <c r="F201" s="121"/>
      <c r="G201" s="156"/>
      <c r="H201" s="157">
        <f>ROUND(H200,0)</f>
        <v>534</v>
      </c>
      <c r="K201" s="132"/>
    </row>
    <row r="202" s="81" customFormat="1" ht="30.6" customHeight="1" spans="1:8">
      <c r="A202" s="93"/>
      <c r="B202" s="93"/>
      <c r="C202" s="93"/>
      <c r="D202" s="94"/>
      <c r="E202" s="95"/>
      <c r="F202" s="95"/>
      <c r="G202" s="96"/>
      <c r="H202" s="97"/>
    </row>
    <row r="203" s="83" customFormat="1" ht="24.95" customHeight="1" spans="1:9">
      <c r="A203" s="105" t="s">
        <v>996</v>
      </c>
      <c r="B203" s="105"/>
      <c r="C203" s="106" t="s">
        <v>284</v>
      </c>
      <c r="D203" s="106"/>
      <c r="E203" s="106"/>
      <c r="F203" s="106"/>
      <c r="G203" s="106"/>
      <c r="H203" s="106"/>
      <c r="I203" s="128"/>
    </row>
    <row r="204" s="84" customFormat="1" ht="18" customHeight="1" spans="4:8">
      <c r="D204" s="107"/>
      <c r="E204" s="108" t="s">
        <v>570</v>
      </c>
      <c r="F204" s="107">
        <v>6</v>
      </c>
      <c r="G204" s="108" t="s">
        <v>194</v>
      </c>
      <c r="H204" s="109"/>
    </row>
    <row r="205" s="85" customFormat="1" ht="15" customHeight="1" spans="2:8">
      <c r="B205" s="110" t="s">
        <v>194</v>
      </c>
      <c r="C205" s="110" t="s">
        <v>573</v>
      </c>
      <c r="D205" s="110" t="s">
        <v>574</v>
      </c>
      <c r="E205" s="110" t="s">
        <v>6</v>
      </c>
      <c r="F205" s="110" t="s">
        <v>575</v>
      </c>
      <c r="G205" s="110" t="s">
        <v>576</v>
      </c>
      <c r="H205" s="111" t="s">
        <v>577</v>
      </c>
    </row>
    <row r="206" ht="20.45" customHeight="1" spans="2:8">
      <c r="B206" s="112">
        <v>1.00999999046326</v>
      </c>
      <c r="C206" s="113" t="s">
        <v>284</v>
      </c>
      <c r="D206" s="112" t="s">
        <v>285</v>
      </c>
      <c r="E206" s="455" t="s">
        <v>194</v>
      </c>
      <c r="F206" s="112">
        <v>6</v>
      </c>
      <c r="G206" s="114">
        <f>'Basic Rates'!E44</f>
        <v>22.5</v>
      </c>
      <c r="H206" s="115">
        <f>G206*F206</f>
        <v>135</v>
      </c>
    </row>
    <row r="207" ht="20.45" customHeight="1" spans="2:8">
      <c r="B207" s="112">
        <v>1.01999998092651</v>
      </c>
      <c r="C207" s="113" t="s">
        <v>986</v>
      </c>
      <c r="D207" s="112" t="s">
        <v>235</v>
      </c>
      <c r="E207" s="455" t="s">
        <v>194</v>
      </c>
      <c r="F207" s="112">
        <v>12</v>
      </c>
      <c r="G207" s="114">
        <f>'Basic Rates'!$E$19</f>
        <v>1.3</v>
      </c>
      <c r="H207" s="115">
        <f>G207*F207</f>
        <v>15.6</v>
      </c>
    </row>
    <row r="208" ht="20.45" customHeight="1" spans="2:8">
      <c r="B208" s="112">
        <v>1.02999997138977</v>
      </c>
      <c r="C208" s="113" t="s">
        <v>76</v>
      </c>
      <c r="D208" s="112" t="s">
        <v>213</v>
      </c>
      <c r="E208" s="112" t="s">
        <v>175</v>
      </c>
      <c r="F208" s="112">
        <v>0.125</v>
      </c>
      <c r="G208" s="114">
        <f>'Basic Rates'!$J$11</f>
        <v>3500</v>
      </c>
      <c r="H208" s="115">
        <f>G208*F208</f>
        <v>437.5</v>
      </c>
    </row>
    <row r="209" ht="20.45" customHeight="1" spans="2:8">
      <c r="B209" s="112">
        <v>1.03999996185303</v>
      </c>
      <c r="C209" s="113" t="s">
        <v>208</v>
      </c>
      <c r="D209" s="112" t="s">
        <v>209</v>
      </c>
      <c r="E209" s="112" t="s">
        <v>175</v>
      </c>
      <c r="F209" s="112">
        <v>0.125</v>
      </c>
      <c r="G209" s="114">
        <f>'Basic Rates'!$J$10</f>
        <v>2300</v>
      </c>
      <c r="H209" s="115">
        <f>G209*F209</f>
        <v>287.5</v>
      </c>
    </row>
    <row r="210" ht="20.45" customHeight="1" spans="2:8">
      <c r="B210" s="129"/>
      <c r="C210" s="129"/>
      <c r="D210" s="116" t="s">
        <v>579</v>
      </c>
      <c r="E210" s="117">
        <f>F204</f>
        <v>6</v>
      </c>
      <c r="F210" s="117" t="str">
        <f>$G$204</f>
        <v>No</v>
      </c>
      <c r="G210" s="118"/>
      <c r="H210" s="115">
        <f>SUM(H206:H209)</f>
        <v>875.6</v>
      </c>
    </row>
    <row r="211" ht="20.45" customHeight="1" spans="2:8">
      <c r="B211" s="129"/>
      <c r="C211" s="129"/>
      <c r="D211" s="116" t="s">
        <v>580</v>
      </c>
      <c r="E211" s="117" t="str">
        <f>$G$204</f>
        <v>No</v>
      </c>
      <c r="F211" s="117"/>
      <c r="G211" s="118"/>
      <c r="H211" s="115">
        <f>H210/F204</f>
        <v>145.933333333333</v>
      </c>
    </row>
    <row r="212" s="81" customFormat="1" ht="15" customHeight="1" spans="1:11">
      <c r="A212" s="93"/>
      <c r="B212" s="125"/>
      <c r="C212" s="125"/>
      <c r="D212" s="124" t="s">
        <v>581</v>
      </c>
      <c r="E212" s="121"/>
      <c r="F212" s="121"/>
      <c r="G212" s="156"/>
      <c r="H212" s="157">
        <f>ROUND(H211,0)</f>
        <v>146</v>
      </c>
      <c r="K212" s="132"/>
    </row>
    <row r="213" s="81" customFormat="1" ht="30.6" customHeight="1" spans="1:8">
      <c r="A213" s="93"/>
      <c r="B213" s="93"/>
      <c r="C213" s="93"/>
      <c r="D213" s="94"/>
      <c r="E213" s="95"/>
      <c r="F213" s="95"/>
      <c r="G213" s="96"/>
      <c r="H213" s="97"/>
    </row>
  </sheetData>
  <mergeCells count="35">
    <mergeCell ref="A2:H2"/>
    <mergeCell ref="A8:H8"/>
    <mergeCell ref="A10:B10"/>
    <mergeCell ref="C10:H10"/>
    <mergeCell ref="A26:B26"/>
    <mergeCell ref="C26:H26"/>
    <mergeCell ref="A42:B42"/>
    <mergeCell ref="C42:H42"/>
    <mergeCell ref="A58:B58"/>
    <mergeCell ref="C58:H58"/>
    <mergeCell ref="A76:B76"/>
    <mergeCell ref="C76:H76"/>
    <mergeCell ref="A91:B91"/>
    <mergeCell ref="C91:H91"/>
    <mergeCell ref="A103:H103"/>
    <mergeCell ref="A105:B105"/>
    <mergeCell ref="C105:H105"/>
    <mergeCell ref="A116:B116"/>
    <mergeCell ref="C116:H116"/>
    <mergeCell ref="A127:B127"/>
    <mergeCell ref="C127:H127"/>
    <mergeCell ref="A137:B137"/>
    <mergeCell ref="C137:H137"/>
    <mergeCell ref="A148:B148"/>
    <mergeCell ref="C148:H148"/>
    <mergeCell ref="A159:B159"/>
    <mergeCell ref="C159:H159"/>
    <mergeCell ref="A170:B170"/>
    <mergeCell ref="C170:H170"/>
    <mergeCell ref="A181:B181"/>
    <mergeCell ref="C181:H181"/>
    <mergeCell ref="A192:B192"/>
    <mergeCell ref="C192:H192"/>
    <mergeCell ref="A203:B203"/>
    <mergeCell ref="C203:H203"/>
  </mergeCells>
  <hyperlinks>
    <hyperlink ref="C4" location="'11'!I15" display="Doors &amp; Windows"/>
    <hyperlink ref="C5" location="'11'!I112" display="Ironmongery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indexed="22"/>
  </sheetPr>
  <dimension ref="A1:K286"/>
  <sheetViews>
    <sheetView topLeftCell="A277" workbookViewId="0">
      <selection activeCell="I27" sqref="I27"/>
    </sheetView>
  </sheetViews>
  <sheetFormatPr defaultColWidth="9" defaultRowHeight="10.5"/>
  <cols>
    <col min="1" max="1" width="1.71428571428571" style="89" customWidth="1"/>
    <col min="2" max="2" width="5.71428571428571" style="89" customWidth="1"/>
    <col min="3" max="3" width="34.7142857142857" style="89" customWidth="1"/>
    <col min="4" max="4" width="7.57142857142857" style="90" customWidth="1"/>
    <col min="5" max="5" width="7.42857142857143" style="90" customWidth="1"/>
    <col min="6" max="6" width="7.14285714285714" style="90" customWidth="1"/>
    <col min="7" max="7" width="9.14285714285714" style="91"/>
    <col min="8" max="8" width="11.8571428571429" style="92" customWidth="1"/>
    <col min="9" max="9" width="9.14285714285714" style="89"/>
    <col min="10" max="10" width="7.14285714285714" style="89" customWidth="1"/>
    <col min="11" max="11" width="15.4285714285714" style="89" customWidth="1"/>
    <col min="12" max="16384" width="9.14285714285714" style="89"/>
  </cols>
  <sheetData>
    <row r="1" s="81" customFormat="1" ht="15" customHeight="1" spans="1:8">
      <c r="A1" s="93"/>
      <c r="B1" s="93"/>
      <c r="C1" s="93"/>
      <c r="D1" s="94"/>
      <c r="E1" s="95"/>
      <c r="F1" s="95"/>
      <c r="G1" s="96"/>
      <c r="H1" s="97"/>
    </row>
    <row r="2" ht="20.1" customHeight="1" spans="1:9">
      <c r="A2" s="150" t="s">
        <v>997</v>
      </c>
      <c r="B2" s="151"/>
      <c r="C2" s="151"/>
      <c r="D2" s="151"/>
      <c r="E2" s="151"/>
      <c r="F2" s="151"/>
      <c r="G2" s="151"/>
      <c r="H2" s="152"/>
      <c r="I2" s="54"/>
    </row>
    <row r="3" ht="18" customHeight="1"/>
    <row r="4" s="83" customFormat="1" ht="24.95" customHeight="1" spans="1:11">
      <c r="A4" s="153">
        <v>12.01</v>
      </c>
      <c r="B4" s="154"/>
      <c r="C4" s="106" t="s">
        <v>998</v>
      </c>
      <c r="D4" s="106"/>
      <c r="E4" s="106"/>
      <c r="F4" s="106"/>
      <c r="G4" s="106"/>
      <c r="H4" s="106"/>
      <c r="I4" s="128"/>
      <c r="K4" s="158"/>
    </row>
    <row r="5" s="84" customFormat="1" ht="18" customHeight="1" spans="4:11">
      <c r="D5" s="107"/>
      <c r="E5" s="108" t="s">
        <v>570</v>
      </c>
      <c r="F5" s="107">
        <v>10</v>
      </c>
      <c r="G5" s="108" t="s">
        <v>308</v>
      </c>
      <c r="H5" s="109"/>
      <c r="K5" s="158"/>
    </row>
    <row r="6" s="85" customFormat="1" ht="15.75" customHeight="1" spans="2:11">
      <c r="B6" s="110" t="s">
        <v>194</v>
      </c>
      <c r="C6" s="110" t="s">
        <v>573</v>
      </c>
      <c r="D6" s="110" t="s">
        <v>574</v>
      </c>
      <c r="E6" s="110" t="s">
        <v>6</v>
      </c>
      <c r="F6" s="110" t="s">
        <v>575</v>
      </c>
      <c r="G6" s="110" t="s">
        <v>576</v>
      </c>
      <c r="H6" s="111" t="s">
        <v>577</v>
      </c>
      <c r="K6" s="158"/>
    </row>
    <row r="7" ht="21" customHeight="1" spans="2:11">
      <c r="B7" s="112">
        <v>1.00999999046326</v>
      </c>
      <c r="C7" s="113" t="s">
        <v>999</v>
      </c>
      <c r="D7" s="112" t="s">
        <v>397</v>
      </c>
      <c r="E7" s="455" t="s">
        <v>308</v>
      </c>
      <c r="F7" s="112">
        <v>13</v>
      </c>
      <c r="G7" s="155">
        <f>'Basic Rates'!E98</f>
        <v>7.5</v>
      </c>
      <c r="H7" s="115">
        <f>G7*F7</f>
        <v>97.5</v>
      </c>
      <c r="J7" s="159" t="s">
        <v>1000</v>
      </c>
      <c r="K7" s="160" t="s">
        <v>1001</v>
      </c>
    </row>
    <row r="8" ht="21" customHeight="1" spans="2:11">
      <c r="B8" s="112">
        <v>1.01999998092651</v>
      </c>
      <c r="C8" s="113" t="s">
        <v>1002</v>
      </c>
      <c r="D8" s="112" t="s">
        <v>258</v>
      </c>
      <c r="E8" s="455" t="s">
        <v>194</v>
      </c>
      <c r="F8" s="112">
        <v>3</v>
      </c>
      <c r="G8" s="155">
        <f>'Basic Rates'!E31</f>
        <v>7</v>
      </c>
      <c r="H8" s="115">
        <f>G8*F8</f>
        <v>21</v>
      </c>
      <c r="J8" s="159" t="s">
        <v>1003</v>
      </c>
      <c r="K8" s="160" t="s">
        <v>1004</v>
      </c>
    </row>
    <row r="9" ht="21" customHeight="1" spans="2:11">
      <c r="B9" s="112">
        <v>1.02999997138977</v>
      </c>
      <c r="C9" s="113" t="s">
        <v>440</v>
      </c>
      <c r="D9" s="112" t="s">
        <v>441</v>
      </c>
      <c r="E9" s="112" t="s">
        <v>442</v>
      </c>
      <c r="F9" s="112">
        <v>2</v>
      </c>
      <c r="G9" s="155">
        <f>'Basic Rates'!$E$120</f>
        <v>1.4</v>
      </c>
      <c r="H9" s="115">
        <f>G9*F9</f>
        <v>2.8</v>
      </c>
      <c r="J9" s="159" t="s">
        <v>1005</v>
      </c>
      <c r="K9" s="160" t="s">
        <v>1006</v>
      </c>
    </row>
    <row r="10" ht="21" customHeight="1" spans="2:11">
      <c r="B10" s="112">
        <v>1.03999996185303</v>
      </c>
      <c r="C10" s="113" t="s">
        <v>181</v>
      </c>
      <c r="D10" s="112" t="s">
        <v>182</v>
      </c>
      <c r="E10" s="112" t="s">
        <v>175</v>
      </c>
      <c r="F10" s="112">
        <v>0.125</v>
      </c>
      <c r="G10" s="155">
        <f>'Basic Rates'!$J$5</f>
        <v>3500</v>
      </c>
      <c r="H10" s="115">
        <f>G10*F10</f>
        <v>437.5</v>
      </c>
      <c r="J10" s="159" t="s">
        <v>1007</v>
      </c>
      <c r="K10" s="160" t="s">
        <v>1008</v>
      </c>
    </row>
    <row r="11" ht="21" customHeight="1" spans="2:11">
      <c r="B11" s="112">
        <v>1.04999995231628</v>
      </c>
      <c r="C11" s="113" t="s">
        <v>208</v>
      </c>
      <c r="D11" s="112" t="s">
        <v>209</v>
      </c>
      <c r="E11" s="112" t="s">
        <v>175</v>
      </c>
      <c r="F11" s="112">
        <v>0.125</v>
      </c>
      <c r="G11" s="155">
        <f>'Basic Rates'!$J$10</f>
        <v>2300</v>
      </c>
      <c r="H11" s="115">
        <f>G11*F11</f>
        <v>287.5</v>
      </c>
      <c r="J11" s="159" t="s">
        <v>1009</v>
      </c>
      <c r="K11" s="160" t="s">
        <v>1010</v>
      </c>
    </row>
    <row r="12" ht="21" customHeight="1" spans="4:11">
      <c r="D12" s="116" t="s">
        <v>579</v>
      </c>
      <c r="E12" s="117">
        <f>$F$5</f>
        <v>10</v>
      </c>
      <c r="F12" s="117" t="str">
        <f>$G$5</f>
        <v>L.ft</v>
      </c>
      <c r="G12" s="118"/>
      <c r="H12" s="115">
        <f>SUM(H7:H11)</f>
        <v>846.3</v>
      </c>
      <c r="J12" s="159" t="s">
        <v>1011</v>
      </c>
      <c r="K12" s="160" t="s">
        <v>1012</v>
      </c>
    </row>
    <row r="13" ht="21" customHeight="1" spans="4:11">
      <c r="D13" s="116" t="s">
        <v>580</v>
      </c>
      <c r="E13" s="117" t="str">
        <f>$G$5</f>
        <v>L.ft</v>
      </c>
      <c r="F13" s="117"/>
      <c r="G13" s="118"/>
      <c r="H13" s="115">
        <f>H12/E12</f>
        <v>84.63</v>
      </c>
      <c r="J13" s="159" t="s">
        <v>1013</v>
      </c>
      <c r="K13" s="160" t="s">
        <v>1014</v>
      </c>
    </row>
    <row r="14" s="81" customFormat="1" ht="21" customHeight="1" spans="1:11">
      <c r="A14" s="93"/>
      <c r="B14" s="125"/>
      <c r="C14" s="125"/>
      <c r="D14" s="124" t="s">
        <v>581</v>
      </c>
      <c r="E14" s="121"/>
      <c r="F14" s="121"/>
      <c r="G14" s="156" t="s">
        <v>719</v>
      </c>
      <c r="H14" s="123">
        <f>ROUND(H13,0)</f>
        <v>85</v>
      </c>
      <c r="J14" s="159" t="s">
        <v>1015</v>
      </c>
      <c r="K14" s="160" t="s">
        <v>1016</v>
      </c>
    </row>
    <row r="15" s="81" customFormat="1" ht="30.6" customHeight="1" spans="1:8">
      <c r="A15" s="93"/>
      <c r="B15" s="93"/>
      <c r="C15" s="93"/>
      <c r="D15" s="94"/>
      <c r="E15" s="95"/>
      <c r="F15" s="95"/>
      <c r="G15" s="96"/>
      <c r="H15" s="97"/>
    </row>
    <row r="16" s="83" customFormat="1" ht="24.95" customHeight="1" spans="1:9">
      <c r="A16" s="153">
        <v>12.02</v>
      </c>
      <c r="B16" s="154"/>
      <c r="C16" s="106" t="s">
        <v>1017</v>
      </c>
      <c r="D16" s="106"/>
      <c r="E16" s="106"/>
      <c r="F16" s="106"/>
      <c r="G16" s="106"/>
      <c r="H16" s="106"/>
      <c r="I16" s="128"/>
    </row>
    <row r="17" s="84" customFormat="1" ht="18" customHeight="1" spans="4:8">
      <c r="D17" s="107"/>
      <c r="E17" s="108" t="s">
        <v>570</v>
      </c>
      <c r="F17" s="107">
        <v>10</v>
      </c>
      <c r="G17" s="108" t="s">
        <v>308</v>
      </c>
      <c r="H17" s="109"/>
    </row>
    <row r="18" s="85" customFormat="1" ht="12" customHeight="1" spans="2:8">
      <c r="B18" s="110" t="s">
        <v>194</v>
      </c>
      <c r="C18" s="110" t="s">
        <v>573</v>
      </c>
      <c r="D18" s="110" t="s">
        <v>574</v>
      </c>
      <c r="E18" s="110" t="s">
        <v>6</v>
      </c>
      <c r="F18" s="110" t="s">
        <v>575</v>
      </c>
      <c r="G18" s="110" t="s">
        <v>576</v>
      </c>
      <c r="H18" s="111" t="s">
        <v>577</v>
      </c>
    </row>
    <row r="19" ht="20.45" customHeight="1" spans="2:8">
      <c r="B19" s="112">
        <v>1.00999999046326</v>
      </c>
      <c r="C19" s="113" t="s">
        <v>1018</v>
      </c>
      <c r="D19" s="112" t="s">
        <v>403</v>
      </c>
      <c r="E19" s="455" t="s">
        <v>308</v>
      </c>
      <c r="F19" s="112">
        <v>13</v>
      </c>
      <c r="G19" s="155">
        <f>'Basic Rates'!E101</f>
        <v>14</v>
      </c>
      <c r="H19" s="115">
        <f>G19*F19</f>
        <v>182</v>
      </c>
    </row>
    <row r="20" ht="20.45" customHeight="1" spans="2:8">
      <c r="B20" s="112">
        <v>1.01999998092651</v>
      </c>
      <c r="C20" s="113" t="s">
        <v>1002</v>
      </c>
      <c r="D20" s="112" t="s">
        <v>258</v>
      </c>
      <c r="E20" s="455" t="s">
        <v>194</v>
      </c>
      <c r="F20" s="112">
        <v>3</v>
      </c>
      <c r="G20" s="155">
        <f>'Basic Rates'!E31</f>
        <v>7</v>
      </c>
      <c r="H20" s="115">
        <f>G20*F20</f>
        <v>21</v>
      </c>
    </row>
    <row r="21" ht="20.45" customHeight="1" spans="2:8">
      <c r="B21" s="112">
        <v>1.02999997138977</v>
      </c>
      <c r="C21" s="113" t="s">
        <v>440</v>
      </c>
      <c r="D21" s="112" t="s">
        <v>441</v>
      </c>
      <c r="E21" s="112" t="s">
        <v>442</v>
      </c>
      <c r="F21" s="112">
        <v>3</v>
      </c>
      <c r="G21" s="155">
        <f>'Basic Rates'!$E$120</f>
        <v>1.4</v>
      </c>
      <c r="H21" s="115">
        <f>G21*F21</f>
        <v>4.2</v>
      </c>
    </row>
    <row r="22" ht="20.45" customHeight="1" spans="2:8">
      <c r="B22" s="112">
        <v>1.03999996185303</v>
      </c>
      <c r="C22" s="113" t="s">
        <v>181</v>
      </c>
      <c r="D22" s="112" t="s">
        <v>182</v>
      </c>
      <c r="E22" s="112" t="s">
        <v>175</v>
      </c>
      <c r="F22" s="112">
        <v>0.125</v>
      </c>
      <c r="G22" s="155">
        <f>'Basic Rates'!$J$5</f>
        <v>3500</v>
      </c>
      <c r="H22" s="115">
        <f>G22*F22</f>
        <v>437.5</v>
      </c>
    </row>
    <row r="23" ht="20.45" customHeight="1" spans="2:8">
      <c r="B23" s="112">
        <v>1.04999995231628</v>
      </c>
      <c r="C23" s="113" t="s">
        <v>208</v>
      </c>
      <c r="D23" s="112" t="s">
        <v>209</v>
      </c>
      <c r="E23" s="112" t="s">
        <v>175</v>
      </c>
      <c r="F23" s="112">
        <v>0.125</v>
      </c>
      <c r="G23" s="155">
        <f>'Basic Rates'!$J$10</f>
        <v>2300</v>
      </c>
      <c r="H23" s="115">
        <f>G23*F23</f>
        <v>287.5</v>
      </c>
    </row>
    <row r="24" ht="20.45" customHeight="1" spans="4:8">
      <c r="D24" s="116" t="s">
        <v>579</v>
      </c>
      <c r="E24" s="117">
        <f>$F$17</f>
        <v>10</v>
      </c>
      <c r="F24" s="117" t="str">
        <f>$G$17</f>
        <v>L.ft</v>
      </c>
      <c r="G24" s="118"/>
      <c r="H24" s="115">
        <f>SUM(H19:H23)</f>
        <v>932.2</v>
      </c>
    </row>
    <row r="25" ht="20.45" customHeight="1" spans="4:8">
      <c r="D25" s="116" t="s">
        <v>580</v>
      </c>
      <c r="E25" s="117" t="str">
        <f>$G$17</f>
        <v>L.ft</v>
      </c>
      <c r="F25" s="117"/>
      <c r="G25" s="118"/>
      <c r="H25" s="115">
        <f>H24/E24</f>
        <v>93.22</v>
      </c>
    </row>
    <row r="26" s="81" customFormat="1" ht="15" customHeight="1" spans="1:11">
      <c r="A26" s="93"/>
      <c r="B26" s="125"/>
      <c r="C26" s="125"/>
      <c r="D26" s="124" t="s">
        <v>581</v>
      </c>
      <c r="E26" s="121"/>
      <c r="F26" s="121"/>
      <c r="G26" s="122" t="s">
        <v>719</v>
      </c>
      <c r="H26" s="157">
        <f>ROUND(H25,0)</f>
        <v>93</v>
      </c>
      <c r="K26" s="132"/>
    </row>
    <row r="27" s="81" customFormat="1" ht="30.6" customHeight="1" spans="1:8">
      <c r="A27" s="93"/>
      <c r="B27" s="93"/>
      <c r="C27" s="93"/>
      <c r="D27" s="94"/>
      <c r="E27" s="95"/>
      <c r="F27" s="95"/>
      <c r="G27" s="96"/>
      <c r="H27" s="97"/>
    </row>
    <row r="28" s="83" customFormat="1" ht="24.95" customHeight="1" spans="1:9">
      <c r="A28" s="153">
        <v>12.03</v>
      </c>
      <c r="B28" s="154"/>
      <c r="C28" s="106" t="s">
        <v>1019</v>
      </c>
      <c r="D28" s="106"/>
      <c r="E28" s="106"/>
      <c r="F28" s="106"/>
      <c r="G28" s="106"/>
      <c r="H28" s="106"/>
      <c r="I28" s="128"/>
    </row>
    <row r="29" s="84" customFormat="1" ht="18" customHeight="1" spans="4:8">
      <c r="D29" s="107"/>
      <c r="E29" s="108" t="s">
        <v>570</v>
      </c>
      <c r="F29" s="107">
        <v>100</v>
      </c>
      <c r="G29" s="108" t="s">
        <v>308</v>
      </c>
      <c r="H29" s="109"/>
    </row>
    <row r="30" s="85" customFormat="1" ht="12" customHeight="1" spans="2:8">
      <c r="B30" s="110" t="s">
        <v>194</v>
      </c>
      <c r="C30" s="110" t="s">
        <v>573</v>
      </c>
      <c r="D30" s="110" t="s">
        <v>574</v>
      </c>
      <c r="E30" s="110" t="s">
        <v>6</v>
      </c>
      <c r="F30" s="110" t="s">
        <v>575</v>
      </c>
      <c r="G30" s="110" t="s">
        <v>576</v>
      </c>
      <c r="H30" s="111" t="s">
        <v>577</v>
      </c>
    </row>
    <row r="31" ht="20.45" customHeight="1" spans="2:8">
      <c r="B31" s="112">
        <v>1.00999999046326</v>
      </c>
      <c r="C31" s="113" t="s">
        <v>1020</v>
      </c>
      <c r="D31" s="112" t="s">
        <v>395</v>
      </c>
      <c r="E31" s="455" t="s">
        <v>308</v>
      </c>
      <c r="F31" s="112">
        <v>100</v>
      </c>
      <c r="G31" s="155">
        <f>'Basic Rates'!E97</f>
        <v>21</v>
      </c>
      <c r="H31" s="115">
        <f>G31*F31</f>
        <v>2100</v>
      </c>
    </row>
    <row r="32" ht="20.45" customHeight="1" spans="2:8">
      <c r="B32" s="112">
        <v>1.01999998092651</v>
      </c>
      <c r="C32" s="113" t="s">
        <v>715</v>
      </c>
      <c r="D32" s="455" t="s">
        <v>676</v>
      </c>
      <c r="E32" s="455" t="s">
        <v>676</v>
      </c>
      <c r="F32" s="455" t="s">
        <v>676</v>
      </c>
      <c r="G32" s="455" t="s">
        <v>676</v>
      </c>
      <c r="H32" s="115">
        <f>H31*5/100</f>
        <v>105</v>
      </c>
    </row>
    <row r="33" ht="20.45" customHeight="1" spans="2:8">
      <c r="B33" s="112">
        <v>1.02999997138977</v>
      </c>
      <c r="C33" s="113" t="s">
        <v>1021</v>
      </c>
      <c r="D33" s="112" t="s">
        <v>361</v>
      </c>
      <c r="E33" s="112" t="s">
        <v>194</v>
      </c>
      <c r="F33" s="112">
        <v>8</v>
      </c>
      <c r="G33" s="155">
        <f>'Basic Rates'!E80</f>
        <v>14</v>
      </c>
      <c r="H33" s="115">
        <f>G33*F33</f>
        <v>112</v>
      </c>
    </row>
    <row r="34" ht="20.45" customHeight="1" spans="2:8">
      <c r="B34" s="112">
        <v>1.03999996185303</v>
      </c>
      <c r="C34" s="113" t="s">
        <v>440</v>
      </c>
      <c r="D34" s="112" t="s">
        <v>441</v>
      </c>
      <c r="E34" s="112" t="s">
        <v>442</v>
      </c>
      <c r="F34" s="112">
        <v>32</v>
      </c>
      <c r="G34" s="155">
        <f>'Basic Rates'!$E$120</f>
        <v>1.4</v>
      </c>
      <c r="H34" s="115">
        <f>G34*F34</f>
        <v>44.8</v>
      </c>
    </row>
    <row r="35" ht="20.45" customHeight="1" spans="2:8">
      <c r="B35" s="112">
        <v>1.04999995231628</v>
      </c>
      <c r="C35" s="113" t="s">
        <v>1002</v>
      </c>
      <c r="D35" s="112" t="s">
        <v>258</v>
      </c>
      <c r="E35" s="112" t="s">
        <v>194</v>
      </c>
      <c r="F35" s="112">
        <v>35</v>
      </c>
      <c r="G35" s="155">
        <f>'Basic Rates'!E31</f>
        <v>7</v>
      </c>
      <c r="H35" s="115">
        <f>G35*F35</f>
        <v>245</v>
      </c>
    </row>
    <row r="36" ht="20.45" customHeight="1" spans="2:8">
      <c r="B36" s="112">
        <v>1.05999994277954</v>
      </c>
      <c r="C36" s="113" t="s">
        <v>181</v>
      </c>
      <c r="D36" s="112" t="s">
        <v>182</v>
      </c>
      <c r="E36" s="112" t="s">
        <v>175</v>
      </c>
      <c r="F36" s="112">
        <v>0.5</v>
      </c>
      <c r="G36" s="155">
        <f>'Basic Rates'!$J$5</f>
        <v>3500</v>
      </c>
      <c r="H36" s="115">
        <f>G36*F36</f>
        <v>1750</v>
      </c>
    </row>
    <row r="37" ht="20.45" customHeight="1" spans="2:8">
      <c r="B37" s="112">
        <v>1.07000005245209</v>
      </c>
      <c r="C37" s="113" t="s">
        <v>208</v>
      </c>
      <c r="D37" s="112" t="s">
        <v>209</v>
      </c>
      <c r="E37" s="112" t="s">
        <v>175</v>
      </c>
      <c r="F37" s="112">
        <v>0.5</v>
      </c>
      <c r="G37" s="155">
        <f>'Basic Rates'!$J$10</f>
        <v>2300</v>
      </c>
      <c r="H37" s="115">
        <f>G37*F37</f>
        <v>1150</v>
      </c>
    </row>
    <row r="38" ht="20.45" customHeight="1" spans="4:8">
      <c r="D38" s="116" t="s">
        <v>579</v>
      </c>
      <c r="E38" s="117">
        <f>$F$29</f>
        <v>100</v>
      </c>
      <c r="F38" s="117" t="str">
        <f>$G$29</f>
        <v>L.ft</v>
      </c>
      <c r="G38" s="118"/>
      <c r="H38" s="115">
        <f>SUM(H31:H37)</f>
        <v>5506.8</v>
      </c>
    </row>
    <row r="39" ht="20.45" customHeight="1" spans="4:8">
      <c r="D39" s="116" t="s">
        <v>580</v>
      </c>
      <c r="E39" s="117" t="str">
        <f>$G$29</f>
        <v>L.ft</v>
      </c>
      <c r="F39" s="117"/>
      <c r="G39" s="118"/>
      <c r="H39" s="115">
        <f>H38/E38</f>
        <v>55.068</v>
      </c>
    </row>
    <row r="40" s="81" customFormat="1" ht="15" customHeight="1" spans="1:11">
      <c r="A40" s="93"/>
      <c r="B40" s="125"/>
      <c r="C40" s="125"/>
      <c r="D40" s="124" t="s">
        <v>581</v>
      </c>
      <c r="E40" s="121"/>
      <c r="F40" s="121"/>
      <c r="G40" s="122" t="s">
        <v>719</v>
      </c>
      <c r="H40" s="157">
        <f>ROUND(H39,0)</f>
        <v>55</v>
      </c>
      <c r="K40" s="132"/>
    </row>
    <row r="41" s="81" customFormat="1" ht="30.6" customHeight="1" spans="1:8">
      <c r="A41" s="93"/>
      <c r="B41" s="93"/>
      <c r="C41" s="93"/>
      <c r="D41" s="94"/>
      <c r="E41" s="95"/>
      <c r="F41" s="95"/>
      <c r="G41" s="96"/>
      <c r="H41" s="97"/>
    </row>
    <row r="42" s="83" customFormat="1" ht="24.95" customHeight="1" spans="1:9">
      <c r="A42" s="153">
        <v>12.04</v>
      </c>
      <c r="B42" s="154"/>
      <c r="C42" s="106" t="s">
        <v>1022</v>
      </c>
      <c r="D42" s="106"/>
      <c r="E42" s="106"/>
      <c r="F42" s="106"/>
      <c r="G42" s="106"/>
      <c r="H42" s="106"/>
      <c r="I42" s="128"/>
    </row>
    <row r="43" s="84" customFormat="1" ht="18" customHeight="1" spans="4:8">
      <c r="D43" s="107"/>
      <c r="E43" s="108" t="s">
        <v>570</v>
      </c>
      <c r="F43" s="107">
        <v>100</v>
      </c>
      <c r="G43" s="108" t="s">
        <v>308</v>
      </c>
      <c r="H43" s="109"/>
    </row>
    <row r="44" s="85" customFormat="1" ht="12" customHeight="1" spans="2:8">
      <c r="B44" s="110" t="s">
        <v>194</v>
      </c>
      <c r="C44" s="110" t="s">
        <v>573</v>
      </c>
      <c r="D44" s="110" t="s">
        <v>574</v>
      </c>
      <c r="E44" s="110" t="s">
        <v>6</v>
      </c>
      <c r="F44" s="110" t="s">
        <v>575</v>
      </c>
      <c r="G44" s="110" t="s">
        <v>576</v>
      </c>
      <c r="H44" s="111" t="s">
        <v>577</v>
      </c>
    </row>
    <row r="45" ht="20.45" customHeight="1" spans="2:8">
      <c r="B45" s="112">
        <v>1.00999999046326</v>
      </c>
      <c r="C45" s="113" t="s">
        <v>1023</v>
      </c>
      <c r="D45" s="112" t="s">
        <v>393</v>
      </c>
      <c r="E45" s="455" t="s">
        <v>308</v>
      </c>
      <c r="F45" s="112">
        <v>100</v>
      </c>
      <c r="G45" s="155">
        <f>'Basic Rates'!E96</f>
        <v>32</v>
      </c>
      <c r="H45" s="115">
        <f>G45*F45</f>
        <v>3200</v>
      </c>
    </row>
    <row r="46" ht="20.45" customHeight="1" spans="2:8">
      <c r="B46" s="112">
        <v>1.01999998092651</v>
      </c>
      <c r="C46" s="113" t="s">
        <v>715</v>
      </c>
      <c r="D46" s="455" t="s">
        <v>676</v>
      </c>
      <c r="E46" s="455" t="s">
        <v>676</v>
      </c>
      <c r="F46" s="455" t="s">
        <v>676</v>
      </c>
      <c r="G46" s="455" t="s">
        <v>676</v>
      </c>
      <c r="H46" s="115">
        <f>H45*5/100</f>
        <v>160</v>
      </c>
    </row>
    <row r="47" ht="20.45" customHeight="1" spans="2:8">
      <c r="B47" s="112">
        <v>1.02999997138977</v>
      </c>
      <c r="C47" s="113" t="s">
        <v>1024</v>
      </c>
      <c r="D47" s="112" t="s">
        <v>409</v>
      </c>
      <c r="E47" s="112" t="s">
        <v>194</v>
      </c>
      <c r="F47" s="112">
        <v>8</v>
      </c>
      <c r="G47" s="155">
        <f>'Basic Rates'!E104</f>
        <v>19.5</v>
      </c>
      <c r="H47" s="115">
        <f>G47*F47</f>
        <v>156</v>
      </c>
    </row>
    <row r="48" ht="20.45" customHeight="1" spans="2:8">
      <c r="B48" s="112">
        <v>1.03999996185303</v>
      </c>
      <c r="C48" s="113" t="s">
        <v>440</v>
      </c>
      <c r="D48" s="112" t="s">
        <v>441</v>
      </c>
      <c r="E48" s="112" t="s">
        <v>442</v>
      </c>
      <c r="F48" s="112">
        <v>48</v>
      </c>
      <c r="G48" s="155">
        <f>'Basic Rates'!$E$120</f>
        <v>1.4</v>
      </c>
      <c r="H48" s="115">
        <f>G48*F48</f>
        <v>67.2</v>
      </c>
    </row>
    <row r="49" ht="20.45" customHeight="1" spans="2:8">
      <c r="B49" s="112">
        <v>1.04999995231628</v>
      </c>
      <c r="C49" s="113" t="s">
        <v>1025</v>
      </c>
      <c r="D49" s="112" t="s">
        <v>262</v>
      </c>
      <c r="E49" s="112" t="s">
        <v>194</v>
      </c>
      <c r="F49" s="112">
        <v>35</v>
      </c>
      <c r="G49" s="155">
        <f>'Basic Rates'!E33</f>
        <v>8.75</v>
      </c>
      <c r="H49" s="115">
        <f>G49*F49</f>
        <v>306.25</v>
      </c>
    </row>
    <row r="50" ht="20.45" customHeight="1" spans="2:8">
      <c r="B50" s="112">
        <v>1.05999994277954</v>
      </c>
      <c r="C50" s="113" t="s">
        <v>181</v>
      </c>
      <c r="D50" s="112" t="s">
        <v>182</v>
      </c>
      <c r="E50" s="112" t="s">
        <v>175</v>
      </c>
      <c r="F50" s="112">
        <v>0.75</v>
      </c>
      <c r="G50" s="155">
        <f>'Basic Rates'!$J$5</f>
        <v>3500</v>
      </c>
      <c r="H50" s="115">
        <f>G50*F50</f>
        <v>2625</v>
      </c>
    </row>
    <row r="51" ht="20.45" customHeight="1" spans="2:8">
      <c r="B51" s="112">
        <v>1.07000005245209</v>
      </c>
      <c r="C51" s="113" t="s">
        <v>208</v>
      </c>
      <c r="D51" s="112" t="s">
        <v>209</v>
      </c>
      <c r="E51" s="112" t="s">
        <v>175</v>
      </c>
      <c r="F51" s="112">
        <v>0.75</v>
      </c>
      <c r="G51" s="155">
        <f>'Basic Rates'!$J$10</f>
        <v>2300</v>
      </c>
      <c r="H51" s="115">
        <f>G51*F51</f>
        <v>1725</v>
      </c>
    </row>
    <row r="52" ht="20.45" customHeight="1" spans="4:8">
      <c r="D52" s="116" t="s">
        <v>579</v>
      </c>
      <c r="E52" s="117">
        <f>$F$43</f>
        <v>100</v>
      </c>
      <c r="F52" s="117" t="str">
        <f>$G$43</f>
        <v>L.ft</v>
      </c>
      <c r="G52" s="118"/>
      <c r="H52" s="115">
        <f>SUM(H45:H51)</f>
        <v>8239.45</v>
      </c>
    </row>
    <row r="53" ht="20.45" customHeight="1" spans="4:8">
      <c r="D53" s="116" t="s">
        <v>580</v>
      </c>
      <c r="E53" s="117" t="str">
        <f>$G$43</f>
        <v>L.ft</v>
      </c>
      <c r="F53" s="117"/>
      <c r="G53" s="118"/>
      <c r="H53" s="115">
        <f>H52/E52</f>
        <v>82.3945</v>
      </c>
    </row>
    <row r="54" s="81" customFormat="1" ht="15" customHeight="1" spans="1:11">
      <c r="A54" s="93"/>
      <c r="B54" s="125"/>
      <c r="C54" s="125"/>
      <c r="D54" s="124" t="s">
        <v>581</v>
      </c>
      <c r="E54" s="121"/>
      <c r="F54" s="121"/>
      <c r="G54" s="122" t="s">
        <v>719</v>
      </c>
      <c r="H54" s="157">
        <f>ROUND(H53,0)</f>
        <v>82</v>
      </c>
      <c r="K54" s="132"/>
    </row>
    <row r="55" s="81" customFormat="1" ht="30.6" customHeight="1" spans="1:8">
      <c r="A55" s="93"/>
      <c r="B55" s="93"/>
      <c r="C55" s="93"/>
      <c r="D55" s="94"/>
      <c r="E55" s="95"/>
      <c r="F55" s="95"/>
      <c r="G55" s="96"/>
      <c r="H55" s="97"/>
    </row>
    <row r="56" s="83" customFormat="1" ht="24.95" customHeight="1" spans="1:9">
      <c r="A56" s="153">
        <v>12.05</v>
      </c>
      <c r="B56" s="154"/>
      <c r="C56" s="106" t="s">
        <v>1026</v>
      </c>
      <c r="D56" s="106"/>
      <c r="E56" s="106"/>
      <c r="F56" s="106"/>
      <c r="G56" s="106"/>
      <c r="H56" s="106"/>
      <c r="I56" s="128"/>
    </row>
    <row r="57" s="84" customFormat="1" ht="18" customHeight="1" spans="4:8">
      <c r="D57" s="107"/>
      <c r="E57" s="108" t="s">
        <v>570</v>
      </c>
      <c r="F57" s="107">
        <v>100</v>
      </c>
      <c r="G57" s="108" t="s">
        <v>308</v>
      </c>
      <c r="H57" s="109"/>
    </row>
    <row r="58" s="85" customFormat="1" ht="12" customHeight="1" spans="2:8">
      <c r="B58" s="110" t="s">
        <v>194</v>
      </c>
      <c r="C58" s="110" t="s">
        <v>573</v>
      </c>
      <c r="D58" s="110" t="s">
        <v>574</v>
      </c>
      <c r="E58" s="110" t="s">
        <v>6</v>
      </c>
      <c r="F58" s="110" t="s">
        <v>575</v>
      </c>
      <c r="G58" s="110" t="s">
        <v>576</v>
      </c>
      <c r="H58" s="111" t="s">
        <v>577</v>
      </c>
    </row>
    <row r="59" ht="20.45" customHeight="1" spans="2:8">
      <c r="B59" s="112">
        <v>1.00999999046326</v>
      </c>
      <c r="C59" s="113" t="s">
        <v>1027</v>
      </c>
      <c r="D59" s="112" t="s">
        <v>391</v>
      </c>
      <c r="E59" s="455" t="s">
        <v>308</v>
      </c>
      <c r="F59" s="112">
        <v>100</v>
      </c>
      <c r="G59" s="155">
        <f>'Basic Rates'!E95</f>
        <v>46</v>
      </c>
      <c r="H59" s="115">
        <f>G59*F59</f>
        <v>4600</v>
      </c>
    </row>
    <row r="60" ht="20.45" customHeight="1" spans="2:8">
      <c r="B60" s="112">
        <v>1.01999998092651</v>
      </c>
      <c r="C60" s="113" t="s">
        <v>715</v>
      </c>
      <c r="D60" s="455" t="s">
        <v>676</v>
      </c>
      <c r="E60" s="455" t="s">
        <v>676</v>
      </c>
      <c r="F60" s="455" t="s">
        <v>676</v>
      </c>
      <c r="G60" s="455" t="s">
        <v>676</v>
      </c>
      <c r="H60" s="115">
        <f>H59*5/100</f>
        <v>230</v>
      </c>
    </row>
    <row r="61" ht="20.45" customHeight="1" spans="2:8">
      <c r="B61" s="112">
        <v>1.02999997138977</v>
      </c>
      <c r="C61" s="113" t="s">
        <v>1028</v>
      </c>
      <c r="D61" s="112" t="s">
        <v>407</v>
      </c>
      <c r="E61" s="112" t="s">
        <v>194</v>
      </c>
      <c r="F61" s="112">
        <v>8</v>
      </c>
      <c r="G61" s="155">
        <f>'Basic Rates'!E103</f>
        <v>160</v>
      </c>
      <c r="H61" s="115">
        <f>G61*F61</f>
        <v>1280</v>
      </c>
    </row>
    <row r="62" ht="20.45" customHeight="1" spans="2:8">
      <c r="B62" s="112">
        <v>1.03999996185303</v>
      </c>
      <c r="C62" s="113" t="s">
        <v>440</v>
      </c>
      <c r="D62" s="112" t="s">
        <v>441</v>
      </c>
      <c r="E62" s="112" t="s">
        <v>442</v>
      </c>
      <c r="F62" s="112">
        <v>64</v>
      </c>
      <c r="G62" s="155">
        <f>'Basic Rates'!$E$120</f>
        <v>1.4</v>
      </c>
      <c r="H62" s="115">
        <f>G62*F62</f>
        <v>89.6</v>
      </c>
    </row>
    <row r="63" ht="20.45" customHeight="1" spans="2:8">
      <c r="B63" s="112">
        <v>1.04999995231628</v>
      </c>
      <c r="C63" s="113" t="s">
        <v>1029</v>
      </c>
      <c r="D63" s="112" t="s">
        <v>260</v>
      </c>
      <c r="E63" s="112" t="s">
        <v>194</v>
      </c>
      <c r="F63" s="112">
        <v>35</v>
      </c>
      <c r="G63" s="155">
        <f>'Basic Rates'!E32</f>
        <v>10.5</v>
      </c>
      <c r="H63" s="115">
        <f>G63*F63</f>
        <v>367.5</v>
      </c>
    </row>
    <row r="64" ht="20.45" customHeight="1" spans="2:8">
      <c r="B64" s="112">
        <v>1.05999994277954</v>
      </c>
      <c r="C64" s="113" t="s">
        <v>181</v>
      </c>
      <c r="D64" s="112" t="s">
        <v>182</v>
      </c>
      <c r="E64" s="112" t="s">
        <v>175</v>
      </c>
      <c r="F64" s="112">
        <v>0.75</v>
      </c>
      <c r="G64" s="155">
        <f>'Basic Rates'!$J$5</f>
        <v>3500</v>
      </c>
      <c r="H64" s="115">
        <f>G64*F64</f>
        <v>2625</v>
      </c>
    </row>
    <row r="65" ht="20.45" customHeight="1" spans="2:8">
      <c r="B65" s="112">
        <v>1.07000005245209</v>
      </c>
      <c r="C65" s="113" t="s">
        <v>208</v>
      </c>
      <c r="D65" s="112" t="s">
        <v>209</v>
      </c>
      <c r="E65" s="112" t="s">
        <v>175</v>
      </c>
      <c r="F65" s="112">
        <v>0.75</v>
      </c>
      <c r="G65" s="155">
        <f>'Basic Rates'!$J$10</f>
        <v>2300</v>
      </c>
      <c r="H65" s="115">
        <f>G65*F65</f>
        <v>1725</v>
      </c>
    </row>
    <row r="66" ht="20.45" customHeight="1" spans="4:8">
      <c r="D66" s="116" t="s">
        <v>579</v>
      </c>
      <c r="E66" s="117">
        <f>$F$57</f>
        <v>100</v>
      </c>
      <c r="F66" s="117" t="str">
        <f>$G$57</f>
        <v>L.ft</v>
      </c>
      <c r="G66" s="118"/>
      <c r="H66" s="115">
        <f>SUM(H59:H65)</f>
        <v>10917.1</v>
      </c>
    </row>
    <row r="67" ht="20.45" customHeight="1" spans="4:8">
      <c r="D67" s="116" t="s">
        <v>580</v>
      </c>
      <c r="E67" s="117" t="str">
        <f>$G$57</f>
        <v>L.ft</v>
      </c>
      <c r="F67" s="117"/>
      <c r="G67" s="118"/>
      <c r="H67" s="115">
        <f>H66/E66</f>
        <v>109.171</v>
      </c>
    </row>
    <row r="68" s="81" customFormat="1" ht="15" customHeight="1" spans="1:11">
      <c r="A68" s="93"/>
      <c r="B68" s="125"/>
      <c r="C68" s="125"/>
      <c r="D68" s="124" t="s">
        <v>581</v>
      </c>
      <c r="E68" s="121"/>
      <c r="F68" s="121"/>
      <c r="G68" s="122" t="s">
        <v>719</v>
      </c>
      <c r="H68" s="157">
        <f>ROUND(H67,0)</f>
        <v>109</v>
      </c>
      <c r="K68" s="132"/>
    </row>
    <row r="69" s="81" customFormat="1" ht="30.6" customHeight="1" spans="1:8">
      <c r="A69" s="93"/>
      <c r="B69" s="93"/>
      <c r="C69" s="93"/>
      <c r="D69" s="94"/>
      <c r="E69" s="95"/>
      <c r="F69" s="95"/>
      <c r="G69" s="96"/>
      <c r="H69" s="97"/>
    </row>
    <row r="70" s="83" customFormat="1" ht="24.95" customHeight="1" spans="1:9">
      <c r="A70" s="153">
        <v>12.06</v>
      </c>
      <c r="B70" s="154"/>
      <c r="C70" s="161" t="s">
        <v>1030</v>
      </c>
      <c r="D70" s="161"/>
      <c r="E70" s="161"/>
      <c r="F70" s="161"/>
      <c r="G70" s="161"/>
      <c r="H70" s="161"/>
      <c r="I70" s="128"/>
    </row>
    <row r="71" s="84" customFormat="1" ht="18" customHeight="1" spans="4:8">
      <c r="D71" s="107"/>
      <c r="E71" s="108" t="s">
        <v>570</v>
      </c>
      <c r="F71" s="107">
        <v>100</v>
      </c>
      <c r="G71" s="108" t="s">
        <v>308</v>
      </c>
      <c r="H71" s="109"/>
    </row>
    <row r="72" s="85" customFormat="1" ht="12" customHeight="1" spans="2:8">
      <c r="B72" s="110" t="s">
        <v>194</v>
      </c>
      <c r="C72" s="110" t="s">
        <v>573</v>
      </c>
      <c r="D72" s="110" t="s">
        <v>574</v>
      </c>
      <c r="E72" s="110" t="s">
        <v>6</v>
      </c>
      <c r="F72" s="110" t="s">
        <v>575</v>
      </c>
      <c r="G72" s="110" t="s">
        <v>576</v>
      </c>
      <c r="H72" s="111" t="s">
        <v>577</v>
      </c>
    </row>
    <row r="73" ht="20.45" customHeight="1" spans="2:8">
      <c r="B73" s="112">
        <v>1.00999999046326</v>
      </c>
      <c r="C73" s="113" t="s">
        <v>1031</v>
      </c>
      <c r="D73" s="112" t="s">
        <v>399</v>
      </c>
      <c r="E73" s="455" t="s">
        <v>308</v>
      </c>
      <c r="F73" s="112">
        <v>100</v>
      </c>
      <c r="G73" s="155">
        <f>'Basic Rates'!E99</f>
        <v>79</v>
      </c>
      <c r="H73" s="115">
        <f>G73*F73</f>
        <v>7900</v>
      </c>
    </row>
    <row r="74" ht="20.45" customHeight="1" spans="2:8">
      <c r="B74" s="112">
        <v>1.01999998092651</v>
      </c>
      <c r="C74" s="113" t="s">
        <v>715</v>
      </c>
      <c r="D74" s="455" t="s">
        <v>676</v>
      </c>
      <c r="E74" s="455" t="s">
        <v>676</v>
      </c>
      <c r="F74" s="455" t="s">
        <v>676</v>
      </c>
      <c r="G74" s="455" t="s">
        <v>676</v>
      </c>
      <c r="H74" s="115">
        <f>H73*5/100</f>
        <v>395</v>
      </c>
    </row>
    <row r="75" ht="20.45" customHeight="1" spans="2:8">
      <c r="B75" s="112">
        <v>1.02999997138977</v>
      </c>
      <c r="C75" s="113" t="s">
        <v>1032</v>
      </c>
      <c r="D75" s="112" t="s">
        <v>411</v>
      </c>
      <c r="E75" s="112" t="s">
        <v>194</v>
      </c>
      <c r="F75" s="112">
        <v>8</v>
      </c>
      <c r="G75" s="155">
        <f>'Basic Rates'!E105</f>
        <v>48</v>
      </c>
      <c r="H75" s="115">
        <f>G75*F75</f>
        <v>384</v>
      </c>
    </row>
    <row r="76" ht="20.45" customHeight="1" spans="2:8">
      <c r="B76" s="112">
        <v>1.03999996185303</v>
      </c>
      <c r="C76" s="113" t="s">
        <v>440</v>
      </c>
      <c r="D76" s="112" t="s">
        <v>441</v>
      </c>
      <c r="E76" s="112" t="s">
        <v>442</v>
      </c>
      <c r="F76" s="112">
        <v>112</v>
      </c>
      <c r="G76" s="155">
        <f>'Basic Rates'!$E$120</f>
        <v>1.4</v>
      </c>
      <c r="H76" s="115">
        <f>G76*F76</f>
        <v>156.8</v>
      </c>
    </row>
    <row r="77" ht="20.45" customHeight="1" spans="2:8">
      <c r="B77" s="112">
        <v>1.04999995231628</v>
      </c>
      <c r="C77" s="113" t="s">
        <v>1033</v>
      </c>
      <c r="D77" s="112" t="s">
        <v>264</v>
      </c>
      <c r="E77" s="112" t="s">
        <v>194</v>
      </c>
      <c r="F77" s="112">
        <v>35</v>
      </c>
      <c r="G77" s="155">
        <f>'Basic Rates'!E34</f>
        <v>10.75</v>
      </c>
      <c r="H77" s="115">
        <f>G77*F77</f>
        <v>376.25</v>
      </c>
    </row>
    <row r="78" ht="20.45" customHeight="1" spans="2:8">
      <c r="B78" s="112">
        <v>1.05999994277954</v>
      </c>
      <c r="C78" s="113" t="s">
        <v>181</v>
      </c>
      <c r="D78" s="112" t="s">
        <v>182</v>
      </c>
      <c r="E78" s="112" t="s">
        <v>175</v>
      </c>
      <c r="F78" s="112">
        <v>0.75</v>
      </c>
      <c r="G78" s="155">
        <f>'Basic Rates'!$J$5</f>
        <v>3500</v>
      </c>
      <c r="H78" s="115">
        <f>G78*F78</f>
        <v>2625</v>
      </c>
    </row>
    <row r="79" ht="20.45" customHeight="1" spans="2:8">
      <c r="B79" s="112">
        <v>1.07000005245209</v>
      </c>
      <c r="C79" s="113" t="s">
        <v>208</v>
      </c>
      <c r="D79" s="112" t="s">
        <v>209</v>
      </c>
      <c r="E79" s="112" t="s">
        <v>175</v>
      </c>
      <c r="F79" s="112">
        <v>0.75</v>
      </c>
      <c r="G79" s="155">
        <f>'Basic Rates'!$J$10</f>
        <v>2300</v>
      </c>
      <c r="H79" s="115">
        <f>G79*F79</f>
        <v>1725</v>
      </c>
    </row>
    <row r="80" ht="20.45" customHeight="1" spans="4:8">
      <c r="D80" s="116" t="s">
        <v>579</v>
      </c>
      <c r="E80" s="117">
        <f>$F$71</f>
        <v>100</v>
      </c>
      <c r="F80" s="117" t="str">
        <f>$G$71</f>
        <v>L.ft</v>
      </c>
      <c r="G80" s="118"/>
      <c r="H80" s="115">
        <f>SUM(H73:H79)</f>
        <v>13562.05</v>
      </c>
    </row>
    <row r="81" ht="20.45" customHeight="1" spans="4:8">
      <c r="D81" s="116" t="s">
        <v>580</v>
      </c>
      <c r="E81" s="117" t="str">
        <f>$G$71</f>
        <v>L.ft</v>
      </c>
      <c r="F81" s="117"/>
      <c r="G81" s="118"/>
      <c r="H81" s="115">
        <f>H80/E80</f>
        <v>135.6205</v>
      </c>
    </row>
    <row r="82" s="81" customFormat="1" ht="15" customHeight="1" spans="1:11">
      <c r="A82" s="93"/>
      <c r="B82" s="125"/>
      <c r="C82" s="125"/>
      <c r="D82" s="124" t="s">
        <v>581</v>
      </c>
      <c r="E82" s="121"/>
      <c r="F82" s="121"/>
      <c r="G82" s="122" t="s">
        <v>719</v>
      </c>
      <c r="H82" s="157">
        <f>ROUND(H81,0)</f>
        <v>136</v>
      </c>
      <c r="K82" s="132"/>
    </row>
    <row r="83" s="81" customFormat="1" ht="30.6" customHeight="1" spans="1:8">
      <c r="A83" s="93"/>
      <c r="B83" s="93"/>
      <c r="C83" s="93"/>
      <c r="D83" s="94"/>
      <c r="E83" s="95"/>
      <c r="F83" s="95"/>
      <c r="G83" s="96"/>
      <c r="H83" s="97"/>
    </row>
    <row r="84" s="83" customFormat="1" ht="24.95" customHeight="1" spans="1:9">
      <c r="A84" s="153">
        <v>12.07</v>
      </c>
      <c r="B84" s="154"/>
      <c r="C84" s="106" t="s">
        <v>1034</v>
      </c>
      <c r="D84" s="106"/>
      <c r="E84" s="106"/>
      <c r="F84" s="106"/>
      <c r="G84" s="106"/>
      <c r="H84" s="106"/>
      <c r="I84" s="128"/>
    </row>
    <row r="85" s="84" customFormat="1" ht="18" customHeight="1" spans="4:8">
      <c r="D85" s="107"/>
      <c r="E85" s="108" t="s">
        <v>570</v>
      </c>
      <c r="F85" s="107">
        <v>100</v>
      </c>
      <c r="G85" s="108" t="s">
        <v>900</v>
      </c>
      <c r="H85" s="109"/>
    </row>
    <row r="86" s="85" customFormat="1" ht="12" customHeight="1" spans="2:8">
      <c r="B86" s="110" t="s">
        <v>194</v>
      </c>
      <c r="C86" s="110" t="s">
        <v>573</v>
      </c>
      <c r="D86" s="110" t="s">
        <v>574</v>
      </c>
      <c r="E86" s="110" t="s">
        <v>6</v>
      </c>
      <c r="F86" s="110" t="s">
        <v>575</v>
      </c>
      <c r="G86" s="110" t="s">
        <v>576</v>
      </c>
      <c r="H86" s="111" t="s">
        <v>577</v>
      </c>
    </row>
    <row r="87" ht="20.45" customHeight="1" spans="2:8">
      <c r="B87" s="112">
        <v>1.00999999046326</v>
      </c>
      <c r="C87" s="113" t="s">
        <v>1035</v>
      </c>
      <c r="D87" s="112" t="s">
        <v>401</v>
      </c>
      <c r="E87" s="455" t="s">
        <v>308</v>
      </c>
      <c r="F87" s="112">
        <v>100</v>
      </c>
      <c r="G87" s="155">
        <f>'Basic Rates'!E100</f>
        <v>185</v>
      </c>
      <c r="H87" s="115">
        <f>G87*F87</f>
        <v>18500</v>
      </c>
    </row>
    <row r="88" ht="20.45" customHeight="1" spans="2:8">
      <c r="B88" s="112">
        <v>1.01999998092651</v>
      </c>
      <c r="C88" s="113" t="s">
        <v>1036</v>
      </c>
      <c r="D88" s="455" t="s">
        <v>676</v>
      </c>
      <c r="E88" s="455" t="s">
        <v>676</v>
      </c>
      <c r="F88" s="455" t="s">
        <v>676</v>
      </c>
      <c r="G88" s="455" t="s">
        <v>676</v>
      </c>
      <c r="H88" s="115">
        <f>H87*5/100</f>
        <v>925</v>
      </c>
    </row>
    <row r="89" ht="20.45" customHeight="1" spans="2:8">
      <c r="B89" s="112">
        <v>1.02999997138977</v>
      </c>
      <c r="C89" s="113" t="s">
        <v>1037</v>
      </c>
      <c r="D89" s="112" t="s">
        <v>413</v>
      </c>
      <c r="E89" s="112" t="s">
        <v>194</v>
      </c>
      <c r="F89" s="112">
        <v>8</v>
      </c>
      <c r="G89" s="155">
        <f>'Basic Rates'!E106</f>
        <v>192</v>
      </c>
      <c r="H89" s="115">
        <f>G89*F89</f>
        <v>1536</v>
      </c>
    </row>
    <row r="90" ht="20.45" customHeight="1" spans="2:8">
      <c r="B90" s="112">
        <v>1.03999996185303</v>
      </c>
      <c r="C90" s="113" t="s">
        <v>440</v>
      </c>
      <c r="D90" s="112" t="s">
        <v>441</v>
      </c>
      <c r="E90" s="112" t="s">
        <v>442</v>
      </c>
      <c r="F90" s="112">
        <v>200</v>
      </c>
      <c r="G90" s="155">
        <f>'Basic Rates'!$E$120</f>
        <v>1.4</v>
      </c>
      <c r="H90" s="115">
        <f>G90*F90</f>
        <v>280</v>
      </c>
    </row>
    <row r="91" ht="20.45" customHeight="1" spans="2:8">
      <c r="B91" s="112">
        <v>1.04999995231628</v>
      </c>
      <c r="C91" s="113" t="s">
        <v>1038</v>
      </c>
      <c r="D91" s="112" t="s">
        <v>266</v>
      </c>
      <c r="E91" s="112" t="s">
        <v>194</v>
      </c>
      <c r="F91" s="112">
        <v>35</v>
      </c>
      <c r="G91" s="155">
        <f>'Basic Rates'!E35</f>
        <v>34</v>
      </c>
      <c r="H91" s="115">
        <f>G91*F91</f>
        <v>1190</v>
      </c>
    </row>
    <row r="92" ht="20.45" customHeight="1" spans="2:8">
      <c r="B92" s="112">
        <v>1.05999994277954</v>
      </c>
      <c r="C92" s="113" t="s">
        <v>181</v>
      </c>
      <c r="D92" s="112" t="s">
        <v>182</v>
      </c>
      <c r="E92" s="112" t="s">
        <v>175</v>
      </c>
      <c r="F92" s="112">
        <v>1</v>
      </c>
      <c r="G92" s="155">
        <f>'Basic Rates'!$J$5</f>
        <v>3500</v>
      </c>
      <c r="H92" s="115">
        <f>G92*F92</f>
        <v>3500</v>
      </c>
    </row>
    <row r="93" ht="20.45" customHeight="1" spans="2:8">
      <c r="B93" s="112">
        <v>1.07000005245209</v>
      </c>
      <c r="C93" s="113" t="s">
        <v>208</v>
      </c>
      <c r="D93" s="112" t="s">
        <v>209</v>
      </c>
      <c r="E93" s="112" t="s">
        <v>175</v>
      </c>
      <c r="F93" s="112">
        <v>1</v>
      </c>
      <c r="G93" s="155">
        <f>'Basic Rates'!$J$10</f>
        <v>2300</v>
      </c>
      <c r="H93" s="115">
        <f>G93*F93</f>
        <v>2300</v>
      </c>
    </row>
    <row r="94" ht="20.45" customHeight="1" spans="4:8">
      <c r="D94" s="116" t="s">
        <v>579</v>
      </c>
      <c r="E94" s="117">
        <f>$F$85</f>
        <v>100</v>
      </c>
      <c r="F94" s="117" t="str">
        <f>$G$85</f>
        <v>L.ft.</v>
      </c>
      <c r="G94" s="118"/>
      <c r="H94" s="115">
        <f>SUM(H87:H93)</f>
        <v>28231</v>
      </c>
    </row>
    <row r="95" ht="20.45" customHeight="1" spans="4:8">
      <c r="D95" s="116" t="s">
        <v>580</v>
      </c>
      <c r="E95" s="117" t="str">
        <f>$G$85</f>
        <v>L.ft.</v>
      </c>
      <c r="F95" s="117"/>
      <c r="G95" s="118"/>
      <c r="H95" s="115">
        <f>H94/E94</f>
        <v>282.31</v>
      </c>
    </row>
    <row r="96" s="81" customFormat="1" ht="15" customHeight="1" spans="1:11">
      <c r="A96" s="93"/>
      <c r="B96" s="125"/>
      <c r="C96" s="125"/>
      <c r="D96" s="124" t="s">
        <v>581</v>
      </c>
      <c r="E96" s="121"/>
      <c r="F96" s="121"/>
      <c r="G96" s="122" t="s">
        <v>719</v>
      </c>
      <c r="H96" s="157">
        <f>ROUND(H95,0)</f>
        <v>282</v>
      </c>
      <c r="K96" s="132"/>
    </row>
    <row r="97" s="81" customFormat="1" ht="30.6" customHeight="1" spans="1:8">
      <c r="A97" s="93"/>
      <c r="B97" s="93"/>
      <c r="C97" s="93"/>
      <c r="D97" s="94"/>
      <c r="E97" s="95"/>
      <c r="F97" s="95"/>
      <c r="G97" s="96"/>
      <c r="H97" s="97"/>
    </row>
    <row r="98" s="83" customFormat="1" ht="24.95" customHeight="1" spans="1:9">
      <c r="A98" s="153">
        <v>12.08</v>
      </c>
      <c r="B98" s="154"/>
      <c r="C98" s="106" t="s">
        <v>1039</v>
      </c>
      <c r="D98" s="106"/>
      <c r="E98" s="106"/>
      <c r="F98" s="106"/>
      <c r="G98" s="106"/>
      <c r="H98" s="106"/>
      <c r="I98" s="128"/>
    </row>
    <row r="99" s="84" customFormat="1" ht="18" customHeight="1" spans="4:8">
      <c r="D99" s="107"/>
      <c r="E99" s="108" t="s">
        <v>570</v>
      </c>
      <c r="F99" s="107">
        <v>100</v>
      </c>
      <c r="G99" s="108" t="s">
        <v>308</v>
      </c>
      <c r="H99" s="109"/>
    </row>
    <row r="100" s="85" customFormat="1" ht="12" customHeight="1" spans="2:8">
      <c r="B100" s="110" t="s">
        <v>194</v>
      </c>
      <c r="C100" s="110" t="s">
        <v>573</v>
      </c>
      <c r="D100" s="110" t="s">
        <v>574</v>
      </c>
      <c r="E100" s="110" t="s">
        <v>6</v>
      </c>
      <c r="F100" s="110" t="s">
        <v>575</v>
      </c>
      <c r="G100" s="110" t="s">
        <v>576</v>
      </c>
      <c r="H100" s="111" t="s">
        <v>577</v>
      </c>
    </row>
    <row r="101" ht="20.45" customHeight="1" spans="2:8">
      <c r="B101" s="112">
        <v>1.00999999046326</v>
      </c>
      <c r="C101" s="113" t="s">
        <v>208</v>
      </c>
      <c r="D101" s="112" t="s">
        <v>209</v>
      </c>
      <c r="E101" s="455" t="s">
        <v>175</v>
      </c>
      <c r="F101" s="112">
        <v>2.25</v>
      </c>
      <c r="G101" s="155">
        <f>'Basic Rates'!$J$10</f>
        <v>2300</v>
      </c>
      <c r="H101" s="115">
        <f>G101*F101</f>
        <v>5175</v>
      </c>
    </row>
    <row r="102" ht="20.45" customHeight="1" spans="4:8">
      <c r="D102" s="116" t="s">
        <v>579</v>
      </c>
      <c r="E102" s="117">
        <f>$F$99</f>
        <v>100</v>
      </c>
      <c r="F102" s="117" t="str">
        <f>$G$99</f>
        <v>L.ft</v>
      </c>
      <c r="G102" s="118"/>
      <c r="H102" s="115">
        <f>SUM(H101)</f>
        <v>5175</v>
      </c>
    </row>
    <row r="103" ht="20.45" customHeight="1" spans="4:8">
      <c r="D103" s="116" t="s">
        <v>580</v>
      </c>
      <c r="E103" s="117" t="str">
        <f>$G$99</f>
        <v>L.ft</v>
      </c>
      <c r="F103" s="117"/>
      <c r="G103" s="118"/>
      <c r="H103" s="115">
        <f>H102/E102</f>
        <v>51.75</v>
      </c>
    </row>
    <row r="104" s="81" customFormat="1" ht="15" customHeight="1" spans="1:11">
      <c r="A104" s="93"/>
      <c r="B104" s="125"/>
      <c r="C104" s="125"/>
      <c r="D104" s="124" t="s">
        <v>581</v>
      </c>
      <c r="E104" s="121"/>
      <c r="F104" s="121"/>
      <c r="G104" s="122" t="s">
        <v>719</v>
      </c>
      <c r="H104" s="157">
        <f>ROUND(H103,0)</f>
        <v>52</v>
      </c>
      <c r="K104" s="132"/>
    </row>
    <row r="105" s="81" customFormat="1" ht="30.6" customHeight="1" spans="1:8">
      <c r="A105" s="93"/>
      <c r="B105" s="93"/>
      <c r="C105" s="93"/>
      <c r="D105" s="94"/>
      <c r="E105" s="95"/>
      <c r="F105" s="95"/>
      <c r="G105" s="96"/>
      <c r="H105" s="97"/>
    </row>
    <row r="106" s="83" customFormat="1" ht="24.95" customHeight="1" spans="1:9">
      <c r="A106" s="153">
        <v>12.09</v>
      </c>
      <c r="B106" s="154"/>
      <c r="C106" s="106" t="s">
        <v>1040</v>
      </c>
      <c r="D106" s="106"/>
      <c r="E106" s="106"/>
      <c r="F106" s="106"/>
      <c r="G106" s="106"/>
      <c r="H106" s="106"/>
      <c r="I106" s="128"/>
    </row>
    <row r="107" s="84" customFormat="1" ht="18" customHeight="1" spans="4:8">
      <c r="D107" s="107"/>
      <c r="E107" s="108" t="s">
        <v>570</v>
      </c>
      <c r="F107" s="107">
        <v>100</v>
      </c>
      <c r="G107" s="108" t="s">
        <v>308</v>
      </c>
      <c r="H107" s="109"/>
    </row>
    <row r="108" s="85" customFormat="1" ht="12" customHeight="1" spans="2:8">
      <c r="B108" s="110" t="s">
        <v>194</v>
      </c>
      <c r="C108" s="110" t="s">
        <v>573</v>
      </c>
      <c r="D108" s="110" t="s">
        <v>574</v>
      </c>
      <c r="E108" s="110" t="s">
        <v>6</v>
      </c>
      <c r="F108" s="110" t="s">
        <v>575</v>
      </c>
      <c r="G108" s="110" t="s">
        <v>576</v>
      </c>
      <c r="H108" s="111" t="s">
        <v>577</v>
      </c>
    </row>
    <row r="109" ht="20.45" customHeight="1" spans="2:8">
      <c r="B109" s="112">
        <v>1.00999999046326</v>
      </c>
      <c r="C109" s="113" t="s">
        <v>24</v>
      </c>
      <c r="D109" s="112" t="s">
        <v>253</v>
      </c>
      <c r="E109" s="455" t="s">
        <v>254</v>
      </c>
      <c r="F109" s="112">
        <v>0.1</v>
      </c>
      <c r="G109" s="155">
        <f>'Basic Rates'!$E$29</f>
        <v>2400</v>
      </c>
      <c r="H109" s="115">
        <f>G109*F109</f>
        <v>240</v>
      </c>
    </row>
    <row r="110" ht="20.45" customHeight="1" spans="2:8">
      <c r="B110" s="112">
        <v>1.01999998092651</v>
      </c>
      <c r="C110" s="113" t="s">
        <v>28</v>
      </c>
      <c r="D110" s="112" t="s">
        <v>433</v>
      </c>
      <c r="E110" s="455" t="s">
        <v>638</v>
      </c>
      <c r="F110" s="112">
        <v>0.01</v>
      </c>
      <c r="G110" s="155">
        <f>'Basic Rates'!$E$116</f>
        <v>18000</v>
      </c>
      <c r="H110" s="115">
        <f>G110*F110</f>
        <v>180</v>
      </c>
    </row>
    <row r="111" ht="20.45" customHeight="1" spans="2:8">
      <c r="B111" s="112">
        <v>1.05999994277954</v>
      </c>
      <c r="C111" s="113" t="s">
        <v>217</v>
      </c>
      <c r="D111" s="112" t="s">
        <v>218</v>
      </c>
      <c r="E111" s="112" t="s">
        <v>175</v>
      </c>
      <c r="F111" s="112">
        <v>3</v>
      </c>
      <c r="G111" s="155">
        <f>'Basic Rates'!$J$12</f>
        <v>3500</v>
      </c>
      <c r="H111" s="115">
        <f>G111*F111</f>
        <v>10500</v>
      </c>
    </row>
    <row r="112" ht="20.45" customHeight="1" spans="2:8">
      <c r="B112" s="112">
        <v>1.07000005245209</v>
      </c>
      <c r="C112" s="113" t="s">
        <v>208</v>
      </c>
      <c r="D112" s="112" t="s">
        <v>209</v>
      </c>
      <c r="E112" s="112" t="s">
        <v>175</v>
      </c>
      <c r="F112" s="112">
        <v>3</v>
      </c>
      <c r="G112" s="155">
        <f>'Basic Rates'!$J$10</f>
        <v>2300</v>
      </c>
      <c r="H112" s="115">
        <f>G112*F112</f>
        <v>6900</v>
      </c>
    </row>
    <row r="113" ht="20.45" customHeight="1" spans="4:8">
      <c r="D113" s="116" t="s">
        <v>579</v>
      </c>
      <c r="E113" s="117">
        <f>$F$107</f>
        <v>100</v>
      </c>
      <c r="F113" s="117" t="str">
        <f>$G$107</f>
        <v>L.ft</v>
      </c>
      <c r="G113" s="118"/>
      <c r="H113" s="115">
        <f>SUM(H109:H112)</f>
        <v>17820</v>
      </c>
    </row>
    <row r="114" ht="20.45" customHeight="1" spans="4:8">
      <c r="D114" s="116" t="s">
        <v>580</v>
      </c>
      <c r="E114" s="117" t="str">
        <f>$G$107</f>
        <v>L.ft</v>
      </c>
      <c r="F114" s="117"/>
      <c r="G114" s="118"/>
      <c r="H114" s="115">
        <f>H113/E113</f>
        <v>178.2</v>
      </c>
    </row>
    <row r="115" s="81" customFormat="1" ht="15" customHeight="1" spans="1:11">
      <c r="A115" s="93"/>
      <c r="B115" s="125"/>
      <c r="C115" s="125"/>
      <c r="D115" s="124" t="s">
        <v>581</v>
      </c>
      <c r="E115" s="121"/>
      <c r="F115" s="121"/>
      <c r="G115" s="122" t="s">
        <v>719</v>
      </c>
      <c r="H115" s="157">
        <f>ROUND(H114,0)</f>
        <v>178</v>
      </c>
      <c r="K115" s="132"/>
    </row>
    <row r="116" s="81" customFormat="1" ht="30.6" customHeight="1" spans="1:8">
      <c r="A116" s="93"/>
      <c r="B116" s="93"/>
      <c r="C116" s="93"/>
      <c r="D116" s="94"/>
      <c r="E116" s="95"/>
      <c r="F116" s="95"/>
      <c r="G116" s="96"/>
      <c r="H116" s="97"/>
    </row>
    <row r="117" s="83" customFormat="1" ht="24.95" customHeight="1" spans="1:9">
      <c r="A117" s="458" t="s">
        <v>1041</v>
      </c>
      <c r="B117" s="154"/>
      <c r="C117" s="106" t="s">
        <v>1042</v>
      </c>
      <c r="D117" s="106"/>
      <c r="E117" s="106"/>
      <c r="F117" s="106"/>
      <c r="G117" s="106"/>
      <c r="H117" s="106"/>
      <c r="I117" s="128"/>
    </row>
    <row r="118" s="84" customFormat="1" ht="18" customHeight="1" spans="4:8">
      <c r="D118" s="107"/>
      <c r="E118" s="108" t="s">
        <v>570</v>
      </c>
      <c r="F118" s="107">
        <v>100</v>
      </c>
      <c r="G118" s="108" t="s">
        <v>308</v>
      </c>
      <c r="H118" s="109"/>
    </row>
    <row r="119" s="85" customFormat="1" ht="12" customHeight="1" spans="2:8">
      <c r="B119" s="110" t="s">
        <v>194</v>
      </c>
      <c r="C119" s="110" t="s">
        <v>573</v>
      </c>
      <c r="D119" s="110" t="s">
        <v>574</v>
      </c>
      <c r="E119" s="110" t="s">
        <v>6</v>
      </c>
      <c r="F119" s="110" t="s">
        <v>575</v>
      </c>
      <c r="G119" s="110" t="s">
        <v>576</v>
      </c>
      <c r="H119" s="111" t="s">
        <v>577</v>
      </c>
    </row>
    <row r="120" ht="20.45" customHeight="1" spans="2:8">
      <c r="B120" s="112">
        <v>1.00999999046326</v>
      </c>
      <c r="C120" s="113" t="s">
        <v>24</v>
      </c>
      <c r="D120" s="112" t="s">
        <v>253</v>
      </c>
      <c r="E120" s="455" t="s">
        <v>254</v>
      </c>
      <c r="F120" s="112">
        <v>0.2</v>
      </c>
      <c r="G120" s="155">
        <f>'Basic Rates'!$E$29</f>
        <v>2400</v>
      </c>
      <c r="H120" s="115">
        <f>G120*F120</f>
        <v>480</v>
      </c>
    </row>
    <row r="121" ht="20.45" customHeight="1" spans="2:8">
      <c r="B121" s="112">
        <v>1.01999998092651</v>
      </c>
      <c r="C121" s="113" t="s">
        <v>28</v>
      </c>
      <c r="D121" s="112" t="s">
        <v>433</v>
      </c>
      <c r="E121" s="455" t="s">
        <v>638</v>
      </c>
      <c r="F121" s="112">
        <v>0.03</v>
      </c>
      <c r="G121" s="155">
        <f>'Basic Rates'!$E$116</f>
        <v>18000</v>
      </c>
      <c r="H121" s="115">
        <f>G121*F121</f>
        <v>540</v>
      </c>
    </row>
    <row r="122" ht="20.45" customHeight="1" spans="2:8">
      <c r="B122" s="112">
        <v>1.05999994277954</v>
      </c>
      <c r="C122" s="113" t="s">
        <v>217</v>
      </c>
      <c r="D122" s="112" t="s">
        <v>218</v>
      </c>
      <c r="E122" s="112" t="s">
        <v>175</v>
      </c>
      <c r="F122" s="112">
        <v>3.5</v>
      </c>
      <c r="G122" s="155">
        <f>'Basic Rates'!$J$12</f>
        <v>3500</v>
      </c>
      <c r="H122" s="115">
        <f>G122*F122</f>
        <v>12250</v>
      </c>
    </row>
    <row r="123" ht="20.45" customHeight="1" spans="2:8">
      <c r="B123" s="112">
        <v>1.07000005245209</v>
      </c>
      <c r="C123" s="113" t="s">
        <v>208</v>
      </c>
      <c r="D123" s="112" t="s">
        <v>209</v>
      </c>
      <c r="E123" s="112" t="s">
        <v>175</v>
      </c>
      <c r="F123" s="112">
        <v>3.5</v>
      </c>
      <c r="G123" s="155">
        <f>'Basic Rates'!$J$10</f>
        <v>2300</v>
      </c>
      <c r="H123" s="115">
        <f>G123*F123</f>
        <v>8050</v>
      </c>
    </row>
    <row r="124" ht="20.45" customHeight="1" spans="4:8">
      <c r="D124" s="116" t="s">
        <v>579</v>
      </c>
      <c r="E124" s="117">
        <f>$F$118</f>
        <v>100</v>
      </c>
      <c r="F124" s="117" t="str">
        <f>$G$118</f>
        <v>L.ft</v>
      </c>
      <c r="G124" s="118"/>
      <c r="H124" s="115">
        <f>SUM(H120:H123)</f>
        <v>21320</v>
      </c>
    </row>
    <row r="125" ht="20.45" customHeight="1" spans="4:8">
      <c r="D125" s="116" t="s">
        <v>580</v>
      </c>
      <c r="E125" s="117" t="str">
        <f>$G$118</f>
        <v>L.ft</v>
      </c>
      <c r="F125" s="117"/>
      <c r="G125" s="118"/>
      <c r="H125" s="115">
        <f>H124/E124</f>
        <v>213.2</v>
      </c>
    </row>
    <row r="126" s="81" customFormat="1" ht="15" customHeight="1" spans="1:11">
      <c r="A126" s="93"/>
      <c r="B126" s="125"/>
      <c r="C126" s="125"/>
      <c r="D126" s="124" t="s">
        <v>581</v>
      </c>
      <c r="E126" s="121"/>
      <c r="F126" s="121"/>
      <c r="G126" s="122" t="s">
        <v>719</v>
      </c>
      <c r="H126" s="157">
        <f>ROUND(H125,0)</f>
        <v>213</v>
      </c>
      <c r="K126" s="132"/>
    </row>
    <row r="127" s="81" customFormat="1" ht="30.6" customHeight="1" spans="1:8">
      <c r="A127" s="93"/>
      <c r="B127" s="93"/>
      <c r="C127" s="93"/>
      <c r="D127" s="94"/>
      <c r="E127" s="95"/>
      <c r="F127" s="95"/>
      <c r="G127" s="96"/>
      <c r="H127" s="97"/>
    </row>
    <row r="128" s="83" customFormat="1" ht="24.95" customHeight="1" spans="1:9">
      <c r="A128" s="153">
        <v>12.11</v>
      </c>
      <c r="B128" s="154"/>
      <c r="C128" s="106" t="s">
        <v>1043</v>
      </c>
      <c r="D128" s="106"/>
      <c r="E128" s="106"/>
      <c r="F128" s="106"/>
      <c r="G128" s="106"/>
      <c r="H128" s="106"/>
      <c r="I128" s="128"/>
    </row>
    <row r="129" s="84" customFormat="1" ht="18" customHeight="1" spans="4:8">
      <c r="D129" s="107"/>
      <c r="E129" s="108" t="s">
        <v>570</v>
      </c>
      <c r="F129" s="107">
        <v>10</v>
      </c>
      <c r="G129" s="108" t="s">
        <v>194</v>
      </c>
      <c r="H129" s="109"/>
    </row>
    <row r="130" s="85" customFormat="1" ht="12" customHeight="1" spans="2:8">
      <c r="B130" s="110" t="s">
        <v>194</v>
      </c>
      <c r="C130" s="110" t="s">
        <v>573</v>
      </c>
      <c r="D130" s="110" t="s">
        <v>574</v>
      </c>
      <c r="E130" s="110" t="s">
        <v>6</v>
      </c>
      <c r="F130" s="110" t="s">
        <v>575</v>
      </c>
      <c r="G130" s="110" t="s">
        <v>576</v>
      </c>
      <c r="H130" s="111" t="s">
        <v>577</v>
      </c>
    </row>
    <row r="131" ht="20.45" customHeight="1" spans="2:8">
      <c r="B131" s="112">
        <v>1.00999999046326</v>
      </c>
      <c r="C131" s="113" t="s">
        <v>1044</v>
      </c>
      <c r="D131" s="112" t="s">
        <v>373</v>
      </c>
      <c r="E131" s="455" t="s">
        <v>194</v>
      </c>
      <c r="F131" s="112">
        <v>10</v>
      </c>
      <c r="G131" s="155">
        <f>'Basic Rates'!E86</f>
        <v>50</v>
      </c>
      <c r="H131" s="115">
        <f>G131*F131</f>
        <v>500</v>
      </c>
    </row>
    <row r="132" ht="20.45" customHeight="1" spans="2:8">
      <c r="B132" s="112">
        <v>1.01999998092651</v>
      </c>
      <c r="C132" s="113" t="s">
        <v>440</v>
      </c>
      <c r="D132" s="112" t="s">
        <v>441</v>
      </c>
      <c r="E132" s="455" t="s">
        <v>442</v>
      </c>
      <c r="F132" s="112">
        <v>20</v>
      </c>
      <c r="G132" s="155">
        <f>'Basic Rates'!$E$120</f>
        <v>1.4</v>
      </c>
      <c r="H132" s="115">
        <f>G132*F132</f>
        <v>28</v>
      </c>
    </row>
    <row r="133" ht="20.45" customHeight="1" spans="2:8">
      <c r="B133" s="112">
        <v>1.05999994277954</v>
      </c>
      <c r="C133" s="113" t="s">
        <v>181</v>
      </c>
      <c r="D133" s="112" t="s">
        <v>182</v>
      </c>
      <c r="E133" s="112" t="s">
        <v>175</v>
      </c>
      <c r="F133" s="112">
        <v>0.25</v>
      </c>
      <c r="G133" s="155">
        <f>'Basic Rates'!$J$5</f>
        <v>3500</v>
      </c>
      <c r="H133" s="115">
        <f>G133*F133</f>
        <v>875</v>
      </c>
    </row>
    <row r="134" ht="20.45" customHeight="1" spans="4:8">
      <c r="D134" s="116" t="s">
        <v>579</v>
      </c>
      <c r="E134" s="117">
        <f>$F$129</f>
        <v>10</v>
      </c>
      <c r="F134" s="117" t="str">
        <f>$G$129</f>
        <v>No</v>
      </c>
      <c r="G134" s="118"/>
      <c r="H134" s="115">
        <f>SUM(H131:H133)</f>
        <v>1403</v>
      </c>
    </row>
    <row r="135" ht="20.45" customHeight="1" spans="4:8">
      <c r="D135" s="116" t="s">
        <v>580</v>
      </c>
      <c r="E135" s="117" t="str">
        <f>$G$129</f>
        <v>No</v>
      </c>
      <c r="F135" s="117"/>
      <c r="G135" s="118"/>
      <c r="H135" s="115">
        <f>H134/E134</f>
        <v>140.3</v>
      </c>
    </row>
    <row r="136" s="81" customFormat="1" ht="15" customHeight="1" spans="1:11">
      <c r="A136" s="93"/>
      <c r="B136" s="125"/>
      <c r="C136" s="125"/>
      <c r="D136" s="124" t="s">
        <v>581</v>
      </c>
      <c r="E136" s="121"/>
      <c r="F136" s="121"/>
      <c r="G136" s="122" t="s">
        <v>194</v>
      </c>
      <c r="H136" s="157">
        <f>ROUND(H135,0)</f>
        <v>140</v>
      </c>
      <c r="K136" s="132"/>
    </row>
    <row r="137" s="81" customFormat="1" ht="30.6" customHeight="1" spans="1:8">
      <c r="A137" s="93"/>
      <c r="B137" s="93"/>
      <c r="C137" s="93"/>
      <c r="D137" s="94"/>
      <c r="E137" s="95"/>
      <c r="F137" s="95"/>
      <c r="G137" s="96"/>
      <c r="H137" s="97"/>
    </row>
    <row r="138" s="83" customFormat="1" ht="24.95" customHeight="1" spans="1:9">
      <c r="A138" s="153">
        <v>12.12</v>
      </c>
      <c r="B138" s="154"/>
      <c r="C138" s="106" t="s">
        <v>1045</v>
      </c>
      <c r="D138" s="106"/>
      <c r="E138" s="106"/>
      <c r="F138" s="106"/>
      <c r="G138" s="106"/>
      <c r="H138" s="106"/>
      <c r="I138" s="128"/>
    </row>
    <row r="139" s="84" customFormat="1" ht="18" customHeight="1" spans="4:8">
      <c r="D139" s="107"/>
      <c r="E139" s="108" t="s">
        <v>570</v>
      </c>
      <c r="F139" s="107">
        <v>10</v>
      </c>
      <c r="G139" s="108" t="s">
        <v>194</v>
      </c>
      <c r="H139" s="109"/>
    </row>
    <row r="140" s="85" customFormat="1" ht="12" customHeight="1" spans="2:8">
      <c r="B140" s="110" t="s">
        <v>194</v>
      </c>
      <c r="C140" s="110" t="s">
        <v>573</v>
      </c>
      <c r="D140" s="110" t="s">
        <v>574</v>
      </c>
      <c r="E140" s="110" t="s">
        <v>6</v>
      </c>
      <c r="F140" s="110" t="s">
        <v>575</v>
      </c>
      <c r="G140" s="110" t="s">
        <v>576</v>
      </c>
      <c r="H140" s="111" t="s">
        <v>577</v>
      </c>
    </row>
    <row r="141" ht="20.45" customHeight="1" spans="2:8">
      <c r="B141" s="112">
        <v>1.00999999046326</v>
      </c>
      <c r="C141" s="113" t="s">
        <v>1046</v>
      </c>
      <c r="D141" s="112" t="s">
        <v>359</v>
      </c>
      <c r="E141" s="455" t="s">
        <v>194</v>
      </c>
      <c r="F141" s="112">
        <v>10</v>
      </c>
      <c r="G141" s="155">
        <f>'Basic Rates'!E79</f>
        <v>30</v>
      </c>
      <c r="H141" s="115">
        <f>G141*F141</f>
        <v>300</v>
      </c>
    </row>
    <row r="142" ht="20.45" customHeight="1" spans="2:8">
      <c r="B142" s="112">
        <v>1.01999998092651</v>
      </c>
      <c r="C142" s="113" t="s">
        <v>440</v>
      </c>
      <c r="D142" s="112" t="s">
        <v>441</v>
      </c>
      <c r="E142" s="455" t="s">
        <v>442</v>
      </c>
      <c r="F142" s="112">
        <v>30</v>
      </c>
      <c r="G142" s="155">
        <f>'Basic Rates'!$E$120</f>
        <v>1.4</v>
      </c>
      <c r="H142" s="115">
        <f>G142*F142</f>
        <v>42</v>
      </c>
    </row>
    <row r="143" ht="20.45" customHeight="1" spans="2:8">
      <c r="B143" s="112">
        <v>1.05999994277954</v>
      </c>
      <c r="C143" s="113" t="s">
        <v>181</v>
      </c>
      <c r="D143" s="112" t="s">
        <v>182</v>
      </c>
      <c r="E143" s="112" t="s">
        <v>175</v>
      </c>
      <c r="F143" s="112">
        <v>0.25</v>
      </c>
      <c r="G143" s="155">
        <f>'Basic Rates'!$J$5</f>
        <v>3500</v>
      </c>
      <c r="H143" s="115">
        <f>G143*F143</f>
        <v>875</v>
      </c>
    </row>
    <row r="144" ht="20.45" customHeight="1" spans="4:8">
      <c r="D144" s="116" t="s">
        <v>579</v>
      </c>
      <c r="E144" s="117">
        <f>$F$139</f>
        <v>10</v>
      </c>
      <c r="F144" s="117" t="str">
        <f>$G$139</f>
        <v>No</v>
      </c>
      <c r="G144" s="118"/>
      <c r="H144" s="115">
        <f>SUM(H141:H143)</f>
        <v>1217</v>
      </c>
    </row>
    <row r="145" ht="20.45" customHeight="1" spans="4:8">
      <c r="D145" s="116" t="s">
        <v>580</v>
      </c>
      <c r="E145" s="117" t="str">
        <f>$G$139</f>
        <v>No</v>
      </c>
      <c r="F145" s="117"/>
      <c r="G145" s="118"/>
      <c r="H145" s="115">
        <f>H144/E144</f>
        <v>121.7</v>
      </c>
    </row>
    <row r="146" s="81" customFormat="1" ht="15" customHeight="1" spans="1:11">
      <c r="A146" s="93"/>
      <c r="B146" s="125"/>
      <c r="C146" s="125"/>
      <c r="D146" s="124" t="s">
        <v>581</v>
      </c>
      <c r="E146" s="121"/>
      <c r="F146" s="121"/>
      <c r="G146" s="122" t="s">
        <v>194</v>
      </c>
      <c r="H146" s="157">
        <f>ROUND(H145,0)</f>
        <v>122</v>
      </c>
      <c r="K146" s="132"/>
    </row>
    <row r="147" s="81" customFormat="1" ht="30.6" customHeight="1" spans="1:8">
      <c r="A147" s="93"/>
      <c r="B147" s="93"/>
      <c r="C147" s="93"/>
      <c r="D147" s="94"/>
      <c r="E147" s="95"/>
      <c r="F147" s="95"/>
      <c r="G147" s="96"/>
      <c r="H147" s="97"/>
    </row>
    <row r="148" s="83" customFormat="1" ht="24.95" customHeight="1" spans="1:9">
      <c r="A148" s="153">
        <v>12.13</v>
      </c>
      <c r="B148" s="154"/>
      <c r="C148" s="106" t="s">
        <v>1047</v>
      </c>
      <c r="D148" s="106"/>
      <c r="E148" s="106"/>
      <c r="F148" s="106"/>
      <c r="G148" s="106"/>
      <c r="H148" s="106"/>
      <c r="I148" s="128"/>
    </row>
    <row r="149" s="84" customFormat="1" ht="18" customHeight="1" spans="4:8">
      <c r="D149" s="107"/>
      <c r="E149" s="108" t="s">
        <v>570</v>
      </c>
      <c r="F149" s="107">
        <v>10</v>
      </c>
      <c r="G149" s="108" t="s">
        <v>194</v>
      </c>
      <c r="H149" s="109"/>
    </row>
    <row r="150" s="85" customFormat="1" ht="12" customHeight="1" spans="2:8">
      <c r="B150" s="110" t="s">
        <v>194</v>
      </c>
      <c r="C150" s="110" t="s">
        <v>573</v>
      </c>
      <c r="D150" s="110" t="s">
        <v>574</v>
      </c>
      <c r="E150" s="110" t="s">
        <v>6</v>
      </c>
      <c r="F150" s="110" t="s">
        <v>575</v>
      </c>
      <c r="G150" s="110" t="s">
        <v>576</v>
      </c>
      <c r="H150" s="111" t="s">
        <v>577</v>
      </c>
    </row>
    <row r="151" ht="20.45" customHeight="1" spans="2:8">
      <c r="B151" s="112">
        <v>1.00999999046326</v>
      </c>
      <c r="C151" s="113" t="s">
        <v>1048</v>
      </c>
      <c r="D151" s="112" t="s">
        <v>371</v>
      </c>
      <c r="E151" s="455" t="s">
        <v>194</v>
      </c>
      <c r="F151" s="112">
        <v>10</v>
      </c>
      <c r="G151" s="155">
        <f>'Basic Rates'!E85</f>
        <v>90</v>
      </c>
      <c r="H151" s="115">
        <f>G151*F151</f>
        <v>900</v>
      </c>
    </row>
    <row r="152" ht="20.45" customHeight="1" spans="2:8">
      <c r="B152" s="112">
        <v>1.01999998092651</v>
      </c>
      <c r="C152" s="113" t="s">
        <v>440</v>
      </c>
      <c r="D152" s="112" t="s">
        <v>441</v>
      </c>
      <c r="E152" s="455" t="s">
        <v>442</v>
      </c>
      <c r="F152" s="112">
        <v>40</v>
      </c>
      <c r="G152" s="155">
        <f>'Basic Rates'!$E$120</f>
        <v>1.4</v>
      </c>
      <c r="H152" s="115">
        <f>G152*F152</f>
        <v>56</v>
      </c>
    </row>
    <row r="153" ht="20.45" customHeight="1" spans="2:8">
      <c r="B153" s="112">
        <v>1.05999994277954</v>
      </c>
      <c r="C153" s="113" t="s">
        <v>181</v>
      </c>
      <c r="D153" s="112" t="s">
        <v>182</v>
      </c>
      <c r="E153" s="112" t="s">
        <v>175</v>
      </c>
      <c r="F153" s="112">
        <v>0.25</v>
      </c>
      <c r="G153" s="155">
        <f>'Basic Rates'!$J$5</f>
        <v>3500</v>
      </c>
      <c r="H153" s="115">
        <f>G153*F153</f>
        <v>875</v>
      </c>
    </row>
    <row r="154" ht="20.45" customHeight="1" spans="4:8">
      <c r="D154" s="116" t="s">
        <v>579</v>
      </c>
      <c r="E154" s="117">
        <f>$F$149</f>
        <v>10</v>
      </c>
      <c r="F154" s="117" t="str">
        <f>$G$149</f>
        <v>No</v>
      </c>
      <c r="G154" s="118"/>
      <c r="H154" s="115">
        <f>SUM(H151:H153)</f>
        <v>1831</v>
      </c>
    </row>
    <row r="155" ht="20.45" customHeight="1" spans="4:8">
      <c r="D155" s="116" t="s">
        <v>580</v>
      </c>
      <c r="E155" s="117" t="str">
        <f>$G$149</f>
        <v>No</v>
      </c>
      <c r="F155" s="117"/>
      <c r="G155" s="118"/>
      <c r="H155" s="115">
        <f>H154/E154</f>
        <v>183.1</v>
      </c>
    </row>
    <row r="156" s="81" customFormat="1" ht="15" customHeight="1" spans="1:11">
      <c r="A156" s="93"/>
      <c r="B156" s="125"/>
      <c r="C156" s="125"/>
      <c r="D156" s="124" t="s">
        <v>581</v>
      </c>
      <c r="E156" s="121"/>
      <c r="F156" s="121"/>
      <c r="G156" s="122" t="s">
        <v>194</v>
      </c>
      <c r="H156" s="157">
        <f>ROUND(H155,0)</f>
        <v>183</v>
      </c>
      <c r="K156" s="132"/>
    </row>
    <row r="157" s="81" customFormat="1" ht="30.6" customHeight="1" spans="1:8">
      <c r="A157" s="93"/>
      <c r="B157" s="93"/>
      <c r="C157" s="93"/>
      <c r="D157" s="94"/>
      <c r="E157" s="95"/>
      <c r="F157" s="95"/>
      <c r="G157" s="96"/>
      <c r="H157" s="97"/>
    </row>
    <row r="158" s="83" customFormat="1" ht="24.95" customHeight="1" spans="1:9">
      <c r="A158" s="153">
        <v>12.14</v>
      </c>
      <c r="B158" s="154"/>
      <c r="C158" s="106" t="s">
        <v>1049</v>
      </c>
      <c r="D158" s="106"/>
      <c r="E158" s="106"/>
      <c r="F158" s="106"/>
      <c r="G158" s="106"/>
      <c r="H158" s="106"/>
      <c r="I158" s="128"/>
    </row>
    <row r="159" s="84" customFormat="1" ht="18" customHeight="1" spans="4:8">
      <c r="D159" s="107"/>
      <c r="E159" s="108" t="s">
        <v>570</v>
      </c>
      <c r="F159" s="107">
        <v>10</v>
      </c>
      <c r="G159" s="108" t="s">
        <v>194</v>
      </c>
      <c r="H159" s="109"/>
    </row>
    <row r="160" s="85" customFormat="1" ht="12" customHeight="1" spans="2:8">
      <c r="B160" s="110" t="s">
        <v>194</v>
      </c>
      <c r="C160" s="110" t="s">
        <v>573</v>
      </c>
      <c r="D160" s="110" t="s">
        <v>574</v>
      </c>
      <c r="E160" s="110" t="s">
        <v>6</v>
      </c>
      <c r="F160" s="110" t="s">
        <v>575</v>
      </c>
      <c r="G160" s="110" t="s">
        <v>576</v>
      </c>
      <c r="H160" s="111" t="s">
        <v>577</v>
      </c>
    </row>
    <row r="161" ht="20.45" customHeight="1" spans="2:8">
      <c r="B161" s="112">
        <v>1.00999999046326</v>
      </c>
      <c r="C161" s="113" t="s">
        <v>1050</v>
      </c>
      <c r="D161" s="112" t="s">
        <v>369</v>
      </c>
      <c r="E161" s="455" t="s">
        <v>194</v>
      </c>
      <c r="F161" s="112">
        <v>10</v>
      </c>
      <c r="G161" s="155">
        <f>'Basic Rates'!E84</f>
        <v>42</v>
      </c>
      <c r="H161" s="115">
        <f>G161*F161</f>
        <v>420</v>
      </c>
    </row>
    <row r="162" ht="20.45" customHeight="1" spans="2:8">
      <c r="B162" s="112">
        <v>1.01999998092651</v>
      </c>
      <c r="C162" s="113" t="s">
        <v>440</v>
      </c>
      <c r="D162" s="112" t="s">
        <v>441</v>
      </c>
      <c r="E162" s="455" t="s">
        <v>442</v>
      </c>
      <c r="F162" s="112">
        <v>60</v>
      </c>
      <c r="G162" s="155">
        <f>'Basic Rates'!$E$120</f>
        <v>1.4</v>
      </c>
      <c r="H162" s="115">
        <f>G162*F162</f>
        <v>84</v>
      </c>
    </row>
    <row r="163" ht="20.45" customHeight="1" spans="2:8">
      <c r="B163" s="112">
        <v>1.05999994277954</v>
      </c>
      <c r="C163" s="113" t="s">
        <v>181</v>
      </c>
      <c r="D163" s="112" t="s">
        <v>182</v>
      </c>
      <c r="E163" s="112" t="s">
        <v>175</v>
      </c>
      <c r="F163" s="112">
        <v>0.25</v>
      </c>
      <c r="G163" s="155">
        <f>'Basic Rates'!$J$5</f>
        <v>3500</v>
      </c>
      <c r="H163" s="115">
        <f>G163*F163</f>
        <v>875</v>
      </c>
    </row>
    <row r="164" ht="20.45" customHeight="1" spans="4:8">
      <c r="D164" s="116" t="s">
        <v>579</v>
      </c>
      <c r="E164" s="117">
        <f>$F$159</f>
        <v>10</v>
      </c>
      <c r="F164" s="117" t="str">
        <f>$G$159</f>
        <v>No</v>
      </c>
      <c r="G164" s="118"/>
      <c r="H164" s="115">
        <f>SUM(H161:H163)</f>
        <v>1379</v>
      </c>
    </row>
    <row r="165" ht="20.45" customHeight="1" spans="4:8">
      <c r="D165" s="116" t="s">
        <v>580</v>
      </c>
      <c r="E165" s="117" t="str">
        <f>$G$159</f>
        <v>No</v>
      </c>
      <c r="F165" s="117"/>
      <c r="G165" s="118"/>
      <c r="H165" s="115">
        <f>H164/E164</f>
        <v>137.9</v>
      </c>
    </row>
    <row r="166" s="81" customFormat="1" ht="15" customHeight="1" spans="1:11">
      <c r="A166" s="93"/>
      <c r="B166" s="125"/>
      <c r="C166" s="125"/>
      <c r="D166" s="124" t="s">
        <v>581</v>
      </c>
      <c r="E166" s="121"/>
      <c r="F166" s="121"/>
      <c r="G166" s="122" t="s">
        <v>194</v>
      </c>
      <c r="H166" s="157">
        <f>ROUND(H165,0)</f>
        <v>138</v>
      </c>
      <c r="K166" s="132"/>
    </row>
    <row r="167" s="81" customFormat="1" ht="30.6" customHeight="1" spans="1:8">
      <c r="A167" s="93"/>
      <c r="B167" s="93"/>
      <c r="C167" s="93"/>
      <c r="D167" s="94"/>
      <c r="E167" s="95"/>
      <c r="F167" s="95"/>
      <c r="G167" s="96"/>
      <c r="H167" s="97"/>
    </row>
    <row r="168" s="83" customFormat="1" ht="24.95" customHeight="1" spans="1:9">
      <c r="A168" s="153">
        <v>12.15</v>
      </c>
      <c r="B168" s="154"/>
      <c r="C168" s="106" t="s">
        <v>1051</v>
      </c>
      <c r="D168" s="106"/>
      <c r="E168" s="106"/>
      <c r="F168" s="106"/>
      <c r="G168" s="106"/>
      <c r="H168" s="106"/>
      <c r="I168" s="128"/>
    </row>
    <row r="169" s="84" customFormat="1" ht="18" customHeight="1" spans="4:8">
      <c r="D169" s="107"/>
      <c r="E169" s="108" t="s">
        <v>570</v>
      </c>
      <c r="F169" s="107">
        <v>10</v>
      </c>
      <c r="G169" s="108" t="s">
        <v>194</v>
      </c>
      <c r="H169" s="109"/>
    </row>
    <row r="170" s="85" customFormat="1" ht="12" customHeight="1" spans="2:8">
      <c r="B170" s="110" t="s">
        <v>194</v>
      </c>
      <c r="C170" s="110" t="s">
        <v>573</v>
      </c>
      <c r="D170" s="110" t="s">
        <v>574</v>
      </c>
      <c r="E170" s="110" t="s">
        <v>6</v>
      </c>
      <c r="F170" s="110" t="s">
        <v>575</v>
      </c>
      <c r="G170" s="110" t="s">
        <v>576</v>
      </c>
      <c r="H170" s="111" t="s">
        <v>577</v>
      </c>
    </row>
    <row r="171" ht="20.45" customHeight="1" spans="2:8">
      <c r="B171" s="112">
        <v>1.00999999046326</v>
      </c>
      <c r="C171" s="113" t="s">
        <v>1052</v>
      </c>
      <c r="D171" s="112" t="s">
        <v>367</v>
      </c>
      <c r="E171" s="455" t="s">
        <v>194</v>
      </c>
      <c r="F171" s="112">
        <v>10</v>
      </c>
      <c r="G171" s="155">
        <f>'Basic Rates'!E83</f>
        <v>69</v>
      </c>
      <c r="H171" s="115">
        <f>G171*F171</f>
        <v>690</v>
      </c>
    </row>
    <row r="172" ht="20.45" customHeight="1" spans="2:8">
      <c r="B172" s="112">
        <v>1.01999998092651</v>
      </c>
      <c r="C172" s="113" t="s">
        <v>440</v>
      </c>
      <c r="D172" s="112" t="s">
        <v>441</v>
      </c>
      <c r="E172" s="455" t="s">
        <v>442</v>
      </c>
      <c r="F172" s="112">
        <v>80</v>
      </c>
      <c r="G172" s="155">
        <f>'Basic Rates'!$E$120</f>
        <v>1.4</v>
      </c>
      <c r="H172" s="115">
        <f>G172*F172</f>
        <v>112</v>
      </c>
    </row>
    <row r="173" ht="20.45" customHeight="1" spans="2:8">
      <c r="B173" s="112">
        <v>1.05999994277954</v>
      </c>
      <c r="C173" s="113" t="s">
        <v>181</v>
      </c>
      <c r="D173" s="112" t="s">
        <v>182</v>
      </c>
      <c r="E173" s="112" t="s">
        <v>175</v>
      </c>
      <c r="F173" s="112">
        <v>0.5</v>
      </c>
      <c r="G173" s="155">
        <f>'Basic Rates'!$J$5</f>
        <v>3500</v>
      </c>
      <c r="H173" s="115">
        <f>G173*F173</f>
        <v>1750</v>
      </c>
    </row>
    <row r="174" ht="20.45" customHeight="1" spans="4:8">
      <c r="D174" s="116" t="s">
        <v>579</v>
      </c>
      <c r="E174" s="117">
        <f>$F$169</f>
        <v>10</v>
      </c>
      <c r="F174" s="117" t="str">
        <f>$G$169</f>
        <v>No</v>
      </c>
      <c r="G174" s="118"/>
      <c r="H174" s="115">
        <f>SUM(H171:H173)</f>
        <v>2552</v>
      </c>
    </row>
    <row r="175" ht="20.45" customHeight="1" spans="4:8">
      <c r="D175" s="116" t="s">
        <v>580</v>
      </c>
      <c r="E175" s="117" t="str">
        <f>$G$169</f>
        <v>No</v>
      </c>
      <c r="F175" s="117"/>
      <c r="G175" s="118"/>
      <c r="H175" s="115">
        <f>H174/E174</f>
        <v>255.2</v>
      </c>
    </row>
    <row r="176" s="81" customFormat="1" ht="15" customHeight="1" spans="1:11">
      <c r="A176" s="93"/>
      <c r="B176" s="125"/>
      <c r="C176" s="125"/>
      <c r="D176" s="124" t="s">
        <v>581</v>
      </c>
      <c r="E176" s="121"/>
      <c r="F176" s="121"/>
      <c r="G176" s="122" t="s">
        <v>194</v>
      </c>
      <c r="H176" s="157">
        <f>ROUND(H175,0)</f>
        <v>255</v>
      </c>
      <c r="K176" s="132"/>
    </row>
    <row r="177" s="81" customFormat="1" ht="30.6" customHeight="1" spans="1:8">
      <c r="A177" s="93"/>
      <c r="B177" s="93"/>
      <c r="C177" s="93"/>
      <c r="D177" s="94"/>
      <c r="E177" s="95"/>
      <c r="F177" s="95"/>
      <c r="G177" s="96"/>
      <c r="H177" s="97"/>
    </row>
    <row r="178" s="83" customFormat="1" ht="24.95" customHeight="1" spans="1:9">
      <c r="A178" s="153">
        <v>12.16</v>
      </c>
      <c r="B178" s="154"/>
      <c r="C178" s="106" t="s">
        <v>1053</v>
      </c>
      <c r="D178" s="106"/>
      <c r="E178" s="106"/>
      <c r="F178" s="106"/>
      <c r="G178" s="106"/>
      <c r="H178" s="106"/>
      <c r="I178" s="128"/>
    </row>
    <row r="179" s="84" customFormat="1" ht="18" customHeight="1" spans="4:8">
      <c r="D179" s="107"/>
      <c r="E179" s="108" t="s">
        <v>570</v>
      </c>
      <c r="F179" s="107">
        <v>10</v>
      </c>
      <c r="G179" s="108" t="s">
        <v>194</v>
      </c>
      <c r="H179" s="109"/>
    </row>
    <row r="180" s="85" customFormat="1" ht="12" customHeight="1" spans="2:8">
      <c r="B180" s="110" t="s">
        <v>194</v>
      </c>
      <c r="C180" s="110" t="s">
        <v>573</v>
      </c>
      <c r="D180" s="110" t="s">
        <v>574</v>
      </c>
      <c r="E180" s="110" t="s">
        <v>6</v>
      </c>
      <c r="F180" s="110" t="s">
        <v>575</v>
      </c>
      <c r="G180" s="110" t="s">
        <v>576</v>
      </c>
      <c r="H180" s="111" t="s">
        <v>577</v>
      </c>
    </row>
    <row r="181" ht="20.45" customHeight="1" spans="2:8">
      <c r="B181" s="112">
        <v>1.00999999046326</v>
      </c>
      <c r="C181" s="113" t="s">
        <v>1054</v>
      </c>
      <c r="D181" s="112" t="s">
        <v>377</v>
      </c>
      <c r="E181" s="455" t="s">
        <v>194</v>
      </c>
      <c r="F181" s="112">
        <v>10</v>
      </c>
      <c r="G181" s="155">
        <f>'Basic Rates'!E88</f>
        <v>320</v>
      </c>
      <c r="H181" s="115">
        <f>G181*F181</f>
        <v>3200</v>
      </c>
    </row>
    <row r="182" ht="20.45" customHeight="1" spans="2:8">
      <c r="B182" s="112">
        <v>1.01999998092651</v>
      </c>
      <c r="C182" s="113" t="s">
        <v>440</v>
      </c>
      <c r="D182" s="112" t="s">
        <v>441</v>
      </c>
      <c r="E182" s="455" t="s">
        <v>442</v>
      </c>
      <c r="F182" s="112">
        <v>140</v>
      </c>
      <c r="G182" s="155">
        <f>'Basic Rates'!$E$120</f>
        <v>1.4</v>
      </c>
      <c r="H182" s="115">
        <f>G182*F182</f>
        <v>196</v>
      </c>
    </row>
    <row r="183" ht="20.45" customHeight="1" spans="2:8">
      <c r="B183" s="112">
        <v>1.05999994277954</v>
      </c>
      <c r="C183" s="113" t="s">
        <v>181</v>
      </c>
      <c r="D183" s="112" t="s">
        <v>182</v>
      </c>
      <c r="E183" s="112" t="s">
        <v>175</v>
      </c>
      <c r="F183" s="112">
        <v>0.5</v>
      </c>
      <c r="G183" s="155">
        <f>'Basic Rates'!$J$5</f>
        <v>3500</v>
      </c>
      <c r="H183" s="115">
        <f>G183*F183</f>
        <v>1750</v>
      </c>
    </row>
    <row r="184" ht="20.45" customHeight="1" spans="4:8">
      <c r="D184" s="116" t="s">
        <v>579</v>
      </c>
      <c r="E184" s="117">
        <f>$F$179</f>
        <v>10</v>
      </c>
      <c r="F184" s="117" t="str">
        <f>$G$179</f>
        <v>No</v>
      </c>
      <c r="G184" s="118"/>
      <c r="H184" s="115">
        <f>SUM(H181:H183)</f>
        <v>5146</v>
      </c>
    </row>
    <row r="185" ht="20.45" customHeight="1" spans="4:8">
      <c r="D185" s="116" t="s">
        <v>580</v>
      </c>
      <c r="E185" s="117" t="str">
        <f>$G$179</f>
        <v>No</v>
      </c>
      <c r="F185" s="117"/>
      <c r="G185" s="118"/>
      <c r="H185" s="115">
        <f>H184/E184</f>
        <v>514.6</v>
      </c>
    </row>
    <row r="186" s="81" customFormat="1" ht="15" customHeight="1" spans="1:11">
      <c r="A186" s="93"/>
      <c r="B186" s="125"/>
      <c r="C186" s="125"/>
      <c r="D186" s="124" t="s">
        <v>581</v>
      </c>
      <c r="E186" s="121"/>
      <c r="F186" s="121"/>
      <c r="G186" s="122" t="s">
        <v>194</v>
      </c>
      <c r="H186" s="157">
        <f>ROUND(H185,0)</f>
        <v>515</v>
      </c>
      <c r="K186" s="132"/>
    </row>
    <row r="187" s="81" customFormat="1" ht="30.6" customHeight="1" spans="1:8">
      <c r="A187" s="93"/>
      <c r="B187" s="93"/>
      <c r="C187" s="93"/>
      <c r="D187" s="94"/>
      <c r="E187" s="95"/>
      <c r="F187" s="95"/>
      <c r="G187" s="96"/>
      <c r="H187" s="97"/>
    </row>
    <row r="188" s="83" customFormat="1" ht="24.95" customHeight="1" spans="1:9">
      <c r="A188" s="153">
        <v>12.17</v>
      </c>
      <c r="B188" s="154"/>
      <c r="C188" s="106" t="s">
        <v>1055</v>
      </c>
      <c r="D188" s="106"/>
      <c r="E188" s="106"/>
      <c r="F188" s="106"/>
      <c r="G188" s="106"/>
      <c r="H188" s="106"/>
      <c r="I188" s="128"/>
    </row>
    <row r="189" s="84" customFormat="1" ht="18" customHeight="1" spans="4:8">
      <c r="D189" s="107"/>
      <c r="E189" s="108" t="s">
        <v>570</v>
      </c>
      <c r="F189" s="107">
        <v>10</v>
      </c>
      <c r="G189" s="108" t="s">
        <v>194</v>
      </c>
      <c r="H189" s="109"/>
    </row>
    <row r="190" s="85" customFormat="1" ht="12" customHeight="1" spans="2:8">
      <c r="B190" s="110" t="s">
        <v>194</v>
      </c>
      <c r="C190" s="110" t="s">
        <v>573</v>
      </c>
      <c r="D190" s="110" t="s">
        <v>574</v>
      </c>
      <c r="E190" s="110" t="s">
        <v>6</v>
      </c>
      <c r="F190" s="110" t="s">
        <v>575</v>
      </c>
      <c r="G190" s="110" t="s">
        <v>576</v>
      </c>
      <c r="H190" s="111" t="s">
        <v>577</v>
      </c>
    </row>
    <row r="191" ht="20.45" customHeight="1" spans="2:8">
      <c r="B191" s="112">
        <v>1.00999999046326</v>
      </c>
      <c r="C191" s="113" t="s">
        <v>1056</v>
      </c>
      <c r="D191" s="112" t="s">
        <v>375</v>
      </c>
      <c r="E191" s="455" t="s">
        <v>194</v>
      </c>
      <c r="F191" s="112">
        <v>10</v>
      </c>
      <c r="G191" s="155">
        <f>'Basic Rates'!E87</f>
        <v>350</v>
      </c>
      <c r="H191" s="115">
        <f>G191*F191</f>
        <v>3500</v>
      </c>
    </row>
    <row r="192" ht="20.45" customHeight="1" spans="2:8">
      <c r="B192" s="112">
        <v>1.01999998092651</v>
      </c>
      <c r="C192" s="113" t="s">
        <v>440</v>
      </c>
      <c r="D192" s="112" t="s">
        <v>441</v>
      </c>
      <c r="E192" s="455" t="s">
        <v>442</v>
      </c>
      <c r="F192" s="112">
        <v>200</v>
      </c>
      <c r="G192" s="155">
        <f>'Basic Rates'!$E$120</f>
        <v>1.4</v>
      </c>
      <c r="H192" s="115">
        <f>G192*F192</f>
        <v>280</v>
      </c>
    </row>
    <row r="193" ht="20.45" customHeight="1" spans="2:8">
      <c r="B193" s="112">
        <v>1.05999994277954</v>
      </c>
      <c r="C193" s="113" t="s">
        <v>181</v>
      </c>
      <c r="D193" s="112" t="s">
        <v>182</v>
      </c>
      <c r="E193" s="112" t="s">
        <v>175</v>
      </c>
      <c r="F193" s="112">
        <v>0.5</v>
      </c>
      <c r="G193" s="155">
        <f>'Basic Rates'!$J$5</f>
        <v>3500</v>
      </c>
      <c r="H193" s="115">
        <f>G193*F193</f>
        <v>1750</v>
      </c>
    </row>
    <row r="194" ht="20.45" customHeight="1" spans="4:8">
      <c r="D194" s="116" t="s">
        <v>579</v>
      </c>
      <c r="E194" s="117">
        <f>$F$189</f>
        <v>10</v>
      </c>
      <c r="F194" s="117" t="str">
        <f>$G$189</f>
        <v>No</v>
      </c>
      <c r="G194" s="118"/>
      <c r="H194" s="115">
        <f>SUM(H191:H193)</f>
        <v>5530</v>
      </c>
    </row>
    <row r="195" ht="20.45" customHeight="1" spans="4:8">
      <c r="D195" s="116" t="s">
        <v>580</v>
      </c>
      <c r="E195" s="117" t="str">
        <f>$G$189</f>
        <v>No</v>
      </c>
      <c r="F195" s="117"/>
      <c r="G195" s="118"/>
      <c r="H195" s="115">
        <f>H194/E194</f>
        <v>553</v>
      </c>
    </row>
    <row r="196" s="81" customFormat="1" ht="15" customHeight="1" spans="1:11">
      <c r="A196" s="93"/>
      <c r="B196" s="125"/>
      <c r="C196" s="125"/>
      <c r="D196" s="124" t="s">
        <v>581</v>
      </c>
      <c r="E196" s="121"/>
      <c r="F196" s="121"/>
      <c r="G196" s="122" t="s">
        <v>194</v>
      </c>
      <c r="H196" s="157">
        <f>ROUND(H195,0)</f>
        <v>553</v>
      </c>
      <c r="K196" s="132"/>
    </row>
    <row r="197" s="81" customFormat="1" ht="30.6" customHeight="1" spans="1:8">
      <c r="A197" s="93"/>
      <c r="B197" s="93"/>
      <c r="C197" s="93"/>
      <c r="D197" s="94"/>
      <c r="E197" s="95"/>
      <c r="F197" s="95"/>
      <c r="G197" s="96"/>
      <c r="H197" s="97"/>
    </row>
    <row r="198" s="83" customFormat="1" ht="24.95" customHeight="1" spans="1:9">
      <c r="A198" s="153">
        <v>12.18</v>
      </c>
      <c r="B198" s="154"/>
      <c r="C198" s="106" t="s">
        <v>1057</v>
      </c>
      <c r="D198" s="106"/>
      <c r="E198" s="106"/>
      <c r="F198" s="106"/>
      <c r="G198" s="106"/>
      <c r="H198" s="106"/>
      <c r="I198" s="128"/>
    </row>
    <row r="199" s="84" customFormat="1" ht="18" customHeight="1" spans="4:8">
      <c r="D199" s="107"/>
      <c r="E199" s="108" t="s">
        <v>570</v>
      </c>
      <c r="F199" s="107">
        <v>10</v>
      </c>
      <c r="G199" s="108" t="s">
        <v>194</v>
      </c>
      <c r="H199" s="109"/>
    </row>
    <row r="200" s="85" customFormat="1" ht="12" customHeight="1" spans="2:8">
      <c r="B200" s="110" t="s">
        <v>194</v>
      </c>
      <c r="C200" s="110" t="s">
        <v>573</v>
      </c>
      <c r="D200" s="110" t="s">
        <v>574</v>
      </c>
      <c r="E200" s="110" t="s">
        <v>6</v>
      </c>
      <c r="F200" s="110" t="s">
        <v>575</v>
      </c>
      <c r="G200" s="110" t="s">
        <v>576</v>
      </c>
      <c r="H200" s="111" t="s">
        <v>577</v>
      </c>
    </row>
    <row r="201" ht="20.45" customHeight="1" spans="2:8">
      <c r="B201" s="112">
        <v>1.00999999046326</v>
      </c>
      <c r="C201" s="113" t="s">
        <v>1058</v>
      </c>
      <c r="D201" s="112" t="s">
        <v>379</v>
      </c>
      <c r="E201" s="455" t="s">
        <v>194</v>
      </c>
      <c r="F201" s="112">
        <v>10</v>
      </c>
      <c r="G201" s="155">
        <f>'Basic Rates'!E89</f>
        <v>580</v>
      </c>
      <c r="H201" s="115">
        <f>G201*F201</f>
        <v>5800</v>
      </c>
    </row>
    <row r="202" ht="20.45" customHeight="1" spans="2:8">
      <c r="B202" s="112">
        <v>1.01999998092651</v>
      </c>
      <c r="C202" s="113" t="s">
        <v>440</v>
      </c>
      <c r="D202" s="112" t="s">
        <v>441</v>
      </c>
      <c r="E202" s="455" t="s">
        <v>442</v>
      </c>
      <c r="F202" s="112">
        <v>240</v>
      </c>
      <c r="G202" s="155">
        <f>'Basic Rates'!$E$120</f>
        <v>1.4</v>
      </c>
      <c r="H202" s="115">
        <f>G202*F202</f>
        <v>336</v>
      </c>
    </row>
    <row r="203" ht="20.45" customHeight="1" spans="2:8">
      <c r="B203" s="112">
        <v>1.05999994277954</v>
      </c>
      <c r="C203" s="113" t="s">
        <v>181</v>
      </c>
      <c r="D203" s="112" t="s">
        <v>182</v>
      </c>
      <c r="E203" s="112" t="s">
        <v>175</v>
      </c>
      <c r="F203" s="112">
        <v>0.5</v>
      </c>
      <c r="G203" s="155">
        <f>'Basic Rates'!$J$5</f>
        <v>3500</v>
      </c>
      <c r="H203" s="115">
        <f>G203*F203</f>
        <v>1750</v>
      </c>
    </row>
    <row r="204" ht="20.45" customHeight="1" spans="4:8">
      <c r="D204" s="116" t="s">
        <v>579</v>
      </c>
      <c r="E204" s="117">
        <f>$F$199</f>
        <v>10</v>
      </c>
      <c r="F204" s="117" t="str">
        <f>$G$199</f>
        <v>No</v>
      </c>
      <c r="G204" s="118"/>
      <c r="H204" s="115">
        <f>SUM(H201:H203)</f>
        <v>7886</v>
      </c>
    </row>
    <row r="205" ht="20.45" customHeight="1" spans="4:8">
      <c r="D205" s="116" t="s">
        <v>580</v>
      </c>
      <c r="E205" s="117" t="str">
        <f>$G$199</f>
        <v>No</v>
      </c>
      <c r="F205" s="117"/>
      <c r="G205" s="118"/>
      <c r="H205" s="115">
        <f>H204/E204</f>
        <v>788.6</v>
      </c>
    </row>
    <row r="206" s="81" customFormat="1" ht="15" customHeight="1" spans="1:11">
      <c r="A206" s="93"/>
      <c r="B206" s="125"/>
      <c r="C206" s="125"/>
      <c r="D206" s="124" t="s">
        <v>581</v>
      </c>
      <c r="E206" s="121"/>
      <c r="F206" s="121"/>
      <c r="G206" s="122" t="s">
        <v>194</v>
      </c>
      <c r="H206" s="157">
        <f>ROUND(H205,0)</f>
        <v>789</v>
      </c>
      <c r="K206" s="132"/>
    </row>
    <row r="207" s="81" customFormat="1" ht="30.6" customHeight="1" spans="1:8">
      <c r="A207" s="93"/>
      <c r="B207" s="93"/>
      <c r="C207" s="93"/>
      <c r="D207" s="94"/>
      <c r="E207" s="95"/>
      <c r="F207" s="95"/>
      <c r="G207" s="96"/>
      <c r="H207" s="97"/>
    </row>
    <row r="208" s="83" customFormat="1" ht="24.95" customHeight="1" spans="1:9">
      <c r="A208" s="153">
        <v>12.19</v>
      </c>
      <c r="B208" s="154"/>
      <c r="C208" s="106" t="s">
        <v>1059</v>
      </c>
      <c r="D208" s="106"/>
      <c r="E208" s="106"/>
      <c r="F208" s="106"/>
      <c r="G208" s="106"/>
      <c r="H208" s="106"/>
      <c r="I208" s="128"/>
    </row>
    <row r="209" s="84" customFormat="1" ht="18" customHeight="1" spans="4:8">
      <c r="D209" s="107"/>
      <c r="E209" s="108" t="s">
        <v>570</v>
      </c>
      <c r="F209" s="107">
        <v>10</v>
      </c>
      <c r="G209" s="108" t="s">
        <v>194</v>
      </c>
      <c r="H209" s="109"/>
    </row>
    <row r="210" s="85" customFormat="1" ht="12" customHeight="1" spans="2:8">
      <c r="B210" s="110" t="s">
        <v>194</v>
      </c>
      <c r="C210" s="110" t="s">
        <v>573</v>
      </c>
      <c r="D210" s="110" t="s">
        <v>574</v>
      </c>
      <c r="E210" s="110" t="s">
        <v>6</v>
      </c>
      <c r="F210" s="110" t="s">
        <v>575</v>
      </c>
      <c r="G210" s="110" t="s">
        <v>576</v>
      </c>
      <c r="H210" s="111" t="s">
        <v>577</v>
      </c>
    </row>
    <row r="211" ht="20.45" customHeight="1" spans="2:8">
      <c r="B211" s="112">
        <v>1.00999999046326</v>
      </c>
      <c r="C211" s="113" t="s">
        <v>1060</v>
      </c>
      <c r="D211" s="112" t="s">
        <v>452</v>
      </c>
      <c r="E211" s="455" t="s">
        <v>194</v>
      </c>
      <c r="F211" s="112">
        <v>10</v>
      </c>
      <c r="G211" s="155">
        <f>'Basic Rates'!E125</f>
        <v>15.5</v>
      </c>
      <c r="H211" s="115">
        <f>G211*F211</f>
        <v>155</v>
      </c>
    </row>
    <row r="212" ht="20.45" customHeight="1" spans="2:8">
      <c r="B212" s="112">
        <v>1.01999998092651</v>
      </c>
      <c r="C212" s="113" t="s">
        <v>440</v>
      </c>
      <c r="D212" s="112" t="s">
        <v>441</v>
      </c>
      <c r="E212" s="455" t="s">
        <v>442</v>
      </c>
      <c r="F212" s="112">
        <v>30</v>
      </c>
      <c r="G212" s="155">
        <f>'Basic Rates'!$E$120</f>
        <v>1.4</v>
      </c>
      <c r="H212" s="115">
        <f>G212*F212</f>
        <v>42</v>
      </c>
    </row>
    <row r="213" ht="20.45" customHeight="1" spans="2:8">
      <c r="B213" s="112">
        <v>1.05999994277954</v>
      </c>
      <c r="C213" s="113" t="s">
        <v>181</v>
      </c>
      <c r="D213" s="112" t="s">
        <v>182</v>
      </c>
      <c r="E213" s="112" t="s">
        <v>175</v>
      </c>
      <c r="F213" s="112">
        <v>0.5</v>
      </c>
      <c r="G213" s="155">
        <f>'Basic Rates'!$J$5</f>
        <v>3500</v>
      </c>
      <c r="H213" s="115">
        <f>G213*F213</f>
        <v>1750</v>
      </c>
    </row>
    <row r="214" ht="20.45" customHeight="1" spans="4:8">
      <c r="D214" s="116" t="s">
        <v>579</v>
      </c>
      <c r="E214" s="117">
        <f>$F$209</f>
        <v>10</v>
      </c>
      <c r="F214" s="117" t="str">
        <f>$G$209</f>
        <v>No</v>
      </c>
      <c r="G214" s="118"/>
      <c r="H214" s="115">
        <f>SUM(H211:H213)</f>
        <v>1947</v>
      </c>
    </row>
    <row r="215" ht="20.45" customHeight="1" spans="4:8">
      <c r="D215" s="116" t="s">
        <v>580</v>
      </c>
      <c r="E215" s="117" t="str">
        <f>$G$209</f>
        <v>No</v>
      </c>
      <c r="F215" s="117"/>
      <c r="G215" s="118"/>
      <c r="H215" s="115">
        <f>H214/E214</f>
        <v>194.7</v>
      </c>
    </row>
    <row r="216" s="81" customFormat="1" ht="15" customHeight="1" spans="1:11">
      <c r="A216" s="93"/>
      <c r="B216" s="125"/>
      <c r="C216" s="125"/>
      <c r="D216" s="124" t="s">
        <v>581</v>
      </c>
      <c r="E216" s="121"/>
      <c r="F216" s="121"/>
      <c r="G216" s="122" t="s">
        <v>194</v>
      </c>
      <c r="H216" s="157">
        <f>ROUND(H215,0)</f>
        <v>195</v>
      </c>
      <c r="K216" s="132"/>
    </row>
    <row r="217" s="81" customFormat="1" ht="30.6" customHeight="1" spans="1:8">
      <c r="A217" s="93"/>
      <c r="B217" s="93"/>
      <c r="C217" s="93"/>
      <c r="D217" s="94"/>
      <c r="E217" s="95"/>
      <c r="F217" s="95"/>
      <c r="G217" s="96"/>
      <c r="H217" s="97"/>
    </row>
    <row r="218" s="83" customFormat="1" ht="24.95" customHeight="1" spans="1:9">
      <c r="A218" s="458" t="s">
        <v>1061</v>
      </c>
      <c r="B218" s="154"/>
      <c r="C218" s="106" t="s">
        <v>1062</v>
      </c>
      <c r="D218" s="106"/>
      <c r="E218" s="106"/>
      <c r="F218" s="106"/>
      <c r="G218" s="106"/>
      <c r="H218" s="106"/>
      <c r="I218" s="128"/>
    </row>
    <row r="219" s="84" customFormat="1" ht="18" customHeight="1" spans="4:8">
      <c r="D219" s="107"/>
      <c r="E219" s="108" t="s">
        <v>570</v>
      </c>
      <c r="F219" s="107">
        <v>10</v>
      </c>
      <c r="G219" s="108" t="s">
        <v>194</v>
      </c>
      <c r="H219" s="109"/>
    </row>
    <row r="220" s="85" customFormat="1" ht="12" customHeight="1" spans="2:8">
      <c r="B220" s="110" t="s">
        <v>194</v>
      </c>
      <c r="C220" s="110" t="s">
        <v>573</v>
      </c>
      <c r="D220" s="110" t="s">
        <v>574</v>
      </c>
      <c r="E220" s="110" t="s">
        <v>6</v>
      </c>
      <c r="F220" s="110" t="s">
        <v>575</v>
      </c>
      <c r="G220" s="110" t="s">
        <v>576</v>
      </c>
      <c r="H220" s="111" t="s">
        <v>577</v>
      </c>
    </row>
    <row r="221" ht="20.45" customHeight="1" spans="2:8">
      <c r="B221" s="112">
        <v>1.00999999046326</v>
      </c>
      <c r="C221" s="113" t="s">
        <v>1063</v>
      </c>
      <c r="D221" s="112" t="s">
        <v>460</v>
      </c>
      <c r="E221" s="455" t="s">
        <v>194</v>
      </c>
      <c r="F221" s="112">
        <v>10</v>
      </c>
      <c r="G221" s="155">
        <f>'Basic Rates'!E129</f>
        <v>21.5</v>
      </c>
      <c r="H221" s="115">
        <f>G221*F221</f>
        <v>215</v>
      </c>
    </row>
    <row r="222" ht="20.45" customHeight="1" spans="2:8">
      <c r="B222" s="112">
        <v>1.01999998092651</v>
      </c>
      <c r="C222" s="113" t="s">
        <v>440</v>
      </c>
      <c r="D222" s="112" t="s">
        <v>441</v>
      </c>
      <c r="E222" s="455" t="s">
        <v>442</v>
      </c>
      <c r="F222" s="112">
        <v>45</v>
      </c>
      <c r="G222" s="155">
        <f>'Basic Rates'!$E$120</f>
        <v>1.4</v>
      </c>
      <c r="H222" s="115">
        <f>G222*F222</f>
        <v>63</v>
      </c>
    </row>
    <row r="223" ht="20.45" customHeight="1" spans="2:8">
      <c r="B223" s="112">
        <v>1.05999994277954</v>
      </c>
      <c r="C223" s="113" t="s">
        <v>181</v>
      </c>
      <c r="D223" s="112" t="s">
        <v>182</v>
      </c>
      <c r="E223" s="112" t="s">
        <v>175</v>
      </c>
      <c r="F223" s="112">
        <v>0.5</v>
      </c>
      <c r="G223" s="155">
        <f>'Basic Rates'!$J$5</f>
        <v>3500</v>
      </c>
      <c r="H223" s="115">
        <f>G223*F223</f>
        <v>1750</v>
      </c>
    </row>
    <row r="224" ht="20.45" customHeight="1" spans="4:8">
      <c r="D224" s="116" t="s">
        <v>579</v>
      </c>
      <c r="E224" s="117">
        <f>$F$219</f>
        <v>10</v>
      </c>
      <c r="F224" s="117" t="str">
        <f>$G$219</f>
        <v>No</v>
      </c>
      <c r="G224" s="118"/>
      <c r="H224" s="115">
        <f>SUM(H220:H223)</f>
        <v>2028</v>
      </c>
    </row>
    <row r="225" ht="20.45" customHeight="1" spans="4:8">
      <c r="D225" s="116" t="s">
        <v>580</v>
      </c>
      <c r="E225" s="117" t="str">
        <f>$G$219</f>
        <v>No</v>
      </c>
      <c r="F225" s="117"/>
      <c r="G225" s="118"/>
      <c r="H225" s="115">
        <f>H224/E224</f>
        <v>202.8</v>
      </c>
    </row>
    <row r="226" s="81" customFormat="1" ht="15" customHeight="1" spans="1:11">
      <c r="A226" s="93"/>
      <c r="B226" s="125"/>
      <c r="C226" s="125"/>
      <c r="D226" s="124" t="s">
        <v>581</v>
      </c>
      <c r="E226" s="121"/>
      <c r="F226" s="121"/>
      <c r="G226" s="122" t="s">
        <v>194</v>
      </c>
      <c r="H226" s="157">
        <f>ROUND(H225,0)</f>
        <v>203</v>
      </c>
      <c r="K226" s="132"/>
    </row>
    <row r="227" s="81" customFormat="1" ht="30.6" customHeight="1" spans="1:8">
      <c r="A227" s="93"/>
      <c r="B227" s="93"/>
      <c r="C227" s="93"/>
      <c r="D227" s="94"/>
      <c r="E227" s="95"/>
      <c r="F227" s="95"/>
      <c r="G227" s="96"/>
      <c r="H227" s="97"/>
    </row>
    <row r="228" s="83" customFormat="1" ht="24.95" customHeight="1" spans="1:9">
      <c r="A228" s="153">
        <v>12.21</v>
      </c>
      <c r="B228" s="154"/>
      <c r="C228" s="106" t="s">
        <v>1064</v>
      </c>
      <c r="D228" s="106"/>
      <c r="E228" s="106"/>
      <c r="F228" s="106"/>
      <c r="G228" s="106"/>
      <c r="H228" s="106"/>
      <c r="I228" s="128"/>
    </row>
    <row r="229" s="84" customFormat="1" ht="18" customHeight="1" spans="4:8">
      <c r="D229" s="107"/>
      <c r="E229" s="108" t="s">
        <v>570</v>
      </c>
      <c r="F229" s="107">
        <v>10</v>
      </c>
      <c r="G229" s="108" t="s">
        <v>194</v>
      </c>
      <c r="H229" s="109"/>
    </row>
    <row r="230" s="85" customFormat="1" ht="12" customHeight="1" spans="2:8">
      <c r="B230" s="110" t="s">
        <v>194</v>
      </c>
      <c r="C230" s="110" t="s">
        <v>573</v>
      </c>
      <c r="D230" s="110" t="s">
        <v>574</v>
      </c>
      <c r="E230" s="110" t="s">
        <v>6</v>
      </c>
      <c r="F230" s="110" t="s">
        <v>575</v>
      </c>
      <c r="G230" s="110" t="s">
        <v>576</v>
      </c>
      <c r="H230" s="111" t="s">
        <v>577</v>
      </c>
    </row>
    <row r="231" ht="20.45" customHeight="1" spans="2:8">
      <c r="B231" s="112">
        <v>1.00999999046326</v>
      </c>
      <c r="C231" s="113" t="s">
        <v>1065</v>
      </c>
      <c r="D231" s="112" t="s">
        <v>448</v>
      </c>
      <c r="E231" s="455" t="s">
        <v>194</v>
      </c>
      <c r="F231" s="112">
        <v>10</v>
      </c>
      <c r="G231" s="155">
        <f>'Basic Rates'!E123</f>
        <v>31.25</v>
      </c>
      <c r="H231" s="115">
        <f>G231*F231</f>
        <v>312.5</v>
      </c>
    </row>
    <row r="232" ht="20.45" customHeight="1" spans="2:8">
      <c r="B232" s="112">
        <v>1.01999998092651</v>
      </c>
      <c r="C232" s="113" t="s">
        <v>440</v>
      </c>
      <c r="D232" s="112" t="s">
        <v>441</v>
      </c>
      <c r="E232" s="455" t="s">
        <v>442</v>
      </c>
      <c r="F232" s="112">
        <v>60</v>
      </c>
      <c r="G232" s="155">
        <f>'Basic Rates'!$E$120</f>
        <v>1.4</v>
      </c>
      <c r="H232" s="115">
        <f>G232*F232</f>
        <v>84</v>
      </c>
    </row>
    <row r="233" ht="20.45" customHeight="1" spans="2:8">
      <c r="B233" s="112">
        <v>1.05999994277954</v>
      </c>
      <c r="C233" s="113" t="s">
        <v>181</v>
      </c>
      <c r="D233" s="112" t="s">
        <v>182</v>
      </c>
      <c r="E233" s="112" t="s">
        <v>175</v>
      </c>
      <c r="F233" s="112">
        <v>0.5</v>
      </c>
      <c r="G233" s="155">
        <f>'Basic Rates'!$J$5</f>
        <v>3500</v>
      </c>
      <c r="H233" s="115">
        <f>G233*F233</f>
        <v>1750</v>
      </c>
    </row>
    <row r="234" ht="20.45" customHeight="1" spans="4:8">
      <c r="D234" s="116" t="s">
        <v>579</v>
      </c>
      <c r="E234" s="117">
        <f>$F$229</f>
        <v>10</v>
      </c>
      <c r="F234" s="117" t="str">
        <f>$G$229</f>
        <v>No</v>
      </c>
      <c r="G234" s="118"/>
      <c r="H234" s="115">
        <f>SUM(H230:H233)</f>
        <v>2146.5</v>
      </c>
    </row>
    <row r="235" ht="20.45" customHeight="1" spans="4:8">
      <c r="D235" s="116" t="s">
        <v>580</v>
      </c>
      <c r="E235" s="117" t="str">
        <f>$G$229</f>
        <v>No</v>
      </c>
      <c r="F235" s="117"/>
      <c r="G235" s="118"/>
      <c r="H235" s="115">
        <f>H234/E234</f>
        <v>214.65</v>
      </c>
    </row>
    <row r="236" s="81" customFormat="1" ht="15" customHeight="1" spans="1:11">
      <c r="A236" s="93"/>
      <c r="B236" s="125"/>
      <c r="C236" s="125"/>
      <c r="D236" s="124" t="s">
        <v>581</v>
      </c>
      <c r="E236" s="121"/>
      <c r="F236" s="121"/>
      <c r="G236" s="122" t="s">
        <v>194</v>
      </c>
      <c r="H236" s="157">
        <f>ROUND(H235,0)</f>
        <v>215</v>
      </c>
      <c r="K236" s="132"/>
    </row>
    <row r="237" s="81" customFormat="1" ht="30.6" customHeight="1" spans="1:8">
      <c r="A237" s="93"/>
      <c r="B237" s="93"/>
      <c r="C237" s="93"/>
      <c r="D237" s="94"/>
      <c r="E237" s="95"/>
      <c r="F237" s="95"/>
      <c r="G237" s="96"/>
      <c r="H237" s="97"/>
    </row>
    <row r="238" s="83" customFormat="1" ht="24.95" customHeight="1" spans="1:9">
      <c r="A238" s="153">
        <v>12.22</v>
      </c>
      <c r="B238" s="154"/>
      <c r="C238" s="106" t="s">
        <v>1066</v>
      </c>
      <c r="D238" s="106"/>
      <c r="E238" s="106"/>
      <c r="F238" s="106"/>
      <c r="G238" s="106"/>
      <c r="H238" s="106"/>
      <c r="I238" s="128"/>
    </row>
    <row r="239" s="84" customFormat="1" ht="18" customHeight="1" spans="4:8">
      <c r="D239" s="107"/>
      <c r="E239" s="108" t="s">
        <v>570</v>
      </c>
      <c r="F239" s="107">
        <v>10</v>
      </c>
      <c r="G239" s="108" t="s">
        <v>194</v>
      </c>
      <c r="H239" s="109"/>
    </row>
    <row r="240" s="85" customFormat="1" ht="12" customHeight="1" spans="2:8">
      <c r="B240" s="110" t="s">
        <v>194</v>
      </c>
      <c r="C240" s="110" t="s">
        <v>573</v>
      </c>
      <c r="D240" s="110" t="s">
        <v>574</v>
      </c>
      <c r="E240" s="110" t="s">
        <v>6</v>
      </c>
      <c r="F240" s="110" t="s">
        <v>575</v>
      </c>
      <c r="G240" s="110" t="s">
        <v>576</v>
      </c>
      <c r="H240" s="111" t="s">
        <v>577</v>
      </c>
    </row>
    <row r="241" ht="20.45" customHeight="1" spans="2:8">
      <c r="B241" s="112">
        <v>1.00999999046326</v>
      </c>
      <c r="C241" s="113" t="s">
        <v>1067</v>
      </c>
      <c r="D241" s="112" t="s">
        <v>462</v>
      </c>
      <c r="E241" s="455" t="s">
        <v>194</v>
      </c>
      <c r="F241" s="112">
        <v>10</v>
      </c>
      <c r="G241" s="155">
        <f>'Basic Rates'!E130</f>
        <v>63.5</v>
      </c>
      <c r="H241" s="115">
        <f>G241*F241</f>
        <v>635</v>
      </c>
    </row>
    <row r="242" ht="20.45" customHeight="1" spans="2:8">
      <c r="B242" s="112">
        <v>1.01999998092651</v>
      </c>
      <c r="C242" s="113" t="s">
        <v>440</v>
      </c>
      <c r="D242" s="112" t="s">
        <v>441</v>
      </c>
      <c r="E242" s="455" t="s">
        <v>442</v>
      </c>
      <c r="F242" s="112">
        <v>90</v>
      </c>
      <c r="G242" s="155">
        <f>'Basic Rates'!$E$120</f>
        <v>1.4</v>
      </c>
      <c r="H242" s="115">
        <f>G242*F242</f>
        <v>126</v>
      </c>
    </row>
    <row r="243" ht="20.45" customHeight="1" spans="2:8">
      <c r="B243" s="112">
        <v>1.05999994277954</v>
      </c>
      <c r="C243" s="113" t="s">
        <v>181</v>
      </c>
      <c r="D243" s="112" t="s">
        <v>182</v>
      </c>
      <c r="E243" s="112" t="s">
        <v>175</v>
      </c>
      <c r="F243" s="112">
        <v>0.5</v>
      </c>
      <c r="G243" s="155">
        <f>'Basic Rates'!$J$5</f>
        <v>3500</v>
      </c>
      <c r="H243" s="115">
        <f>G243*F243</f>
        <v>1750</v>
      </c>
    </row>
    <row r="244" ht="20.45" customHeight="1" spans="4:8">
      <c r="D244" s="116" t="s">
        <v>579</v>
      </c>
      <c r="E244" s="117">
        <f>$F$239</f>
        <v>10</v>
      </c>
      <c r="F244" s="117" t="str">
        <f>$G$239</f>
        <v>No</v>
      </c>
      <c r="G244" s="118"/>
      <c r="H244" s="115">
        <f>SUM(H240:H243)</f>
        <v>2511</v>
      </c>
    </row>
    <row r="245" ht="20.45" customHeight="1" spans="4:8">
      <c r="D245" s="116" t="s">
        <v>580</v>
      </c>
      <c r="E245" s="117" t="str">
        <f>$G$239</f>
        <v>No</v>
      </c>
      <c r="F245" s="117"/>
      <c r="G245" s="118"/>
      <c r="H245" s="115">
        <f>H244/E244</f>
        <v>251.1</v>
      </c>
    </row>
    <row r="246" s="81" customFormat="1" ht="15" customHeight="1" spans="1:11">
      <c r="A246" s="93"/>
      <c r="B246" s="125"/>
      <c r="C246" s="125"/>
      <c r="D246" s="124" t="s">
        <v>581</v>
      </c>
      <c r="E246" s="121"/>
      <c r="F246" s="121"/>
      <c r="G246" s="122" t="s">
        <v>194</v>
      </c>
      <c r="H246" s="157">
        <f>ROUND(H245,0)</f>
        <v>251</v>
      </c>
      <c r="K246" s="132"/>
    </row>
    <row r="247" s="81" customFormat="1" ht="30.6" customHeight="1" spans="1:8">
      <c r="A247" s="93"/>
      <c r="B247" s="93"/>
      <c r="C247" s="93"/>
      <c r="D247" s="94"/>
      <c r="E247" s="95"/>
      <c r="F247" s="95"/>
      <c r="G247" s="96"/>
      <c r="H247" s="97"/>
    </row>
    <row r="248" s="83" customFormat="1" ht="24.95" customHeight="1" spans="1:9">
      <c r="A248" s="153">
        <v>12.23</v>
      </c>
      <c r="B248" s="154"/>
      <c r="C248" s="106" t="s">
        <v>1068</v>
      </c>
      <c r="D248" s="106"/>
      <c r="E248" s="106"/>
      <c r="F248" s="106"/>
      <c r="G248" s="106"/>
      <c r="H248" s="106"/>
      <c r="I248" s="128"/>
    </row>
    <row r="249" s="84" customFormat="1" ht="18" customHeight="1" spans="4:8">
      <c r="D249" s="107"/>
      <c r="E249" s="108" t="s">
        <v>570</v>
      </c>
      <c r="F249" s="107">
        <v>10</v>
      </c>
      <c r="G249" s="108" t="s">
        <v>194</v>
      </c>
      <c r="H249" s="109"/>
    </row>
    <row r="250" s="85" customFormat="1" ht="12" customHeight="1" spans="2:8">
      <c r="B250" s="110" t="s">
        <v>194</v>
      </c>
      <c r="C250" s="110" t="s">
        <v>573</v>
      </c>
      <c r="D250" s="110" t="s">
        <v>574</v>
      </c>
      <c r="E250" s="110" t="s">
        <v>6</v>
      </c>
      <c r="F250" s="110" t="s">
        <v>575</v>
      </c>
      <c r="G250" s="110" t="s">
        <v>576</v>
      </c>
      <c r="H250" s="111" t="s">
        <v>577</v>
      </c>
    </row>
    <row r="251" ht="20.45" customHeight="1" spans="2:8">
      <c r="B251" s="112">
        <v>1.00999999046326</v>
      </c>
      <c r="C251" s="113" t="s">
        <v>1069</v>
      </c>
      <c r="D251" s="112" t="s">
        <v>450</v>
      </c>
      <c r="E251" s="455" t="s">
        <v>194</v>
      </c>
      <c r="F251" s="112">
        <v>10</v>
      </c>
      <c r="G251" s="155">
        <f>'Basic Rates'!E124</f>
        <v>102</v>
      </c>
      <c r="H251" s="115">
        <f>G251*F251</f>
        <v>1020</v>
      </c>
    </row>
    <row r="252" ht="20.45" customHeight="1" spans="2:8">
      <c r="B252" s="112">
        <v>1.01999998092651</v>
      </c>
      <c r="C252" s="113" t="s">
        <v>440</v>
      </c>
      <c r="D252" s="112" t="s">
        <v>441</v>
      </c>
      <c r="E252" s="455" t="s">
        <v>442</v>
      </c>
      <c r="F252" s="112">
        <v>120</v>
      </c>
      <c r="G252" s="155">
        <f>'Basic Rates'!$E$120</f>
        <v>1.4</v>
      </c>
      <c r="H252" s="115">
        <f>G252*F252</f>
        <v>168</v>
      </c>
    </row>
    <row r="253" ht="20.45" customHeight="1" spans="2:8">
      <c r="B253" s="112">
        <v>1.05999994277954</v>
      </c>
      <c r="C253" s="113" t="s">
        <v>181</v>
      </c>
      <c r="D253" s="112" t="s">
        <v>182</v>
      </c>
      <c r="E253" s="112" t="s">
        <v>175</v>
      </c>
      <c r="F253" s="112">
        <v>1</v>
      </c>
      <c r="G253" s="155">
        <f>'Basic Rates'!$J$5</f>
        <v>3500</v>
      </c>
      <c r="H253" s="115">
        <f>G253*F253</f>
        <v>3500</v>
      </c>
    </row>
    <row r="254" ht="20.45" customHeight="1" spans="4:8">
      <c r="D254" s="116" t="s">
        <v>579</v>
      </c>
      <c r="E254" s="117">
        <f>$F$249</f>
        <v>10</v>
      </c>
      <c r="F254" s="117" t="str">
        <f>$G$249</f>
        <v>No</v>
      </c>
      <c r="G254" s="118"/>
      <c r="H254" s="115">
        <f>SUM(H250:H253)</f>
        <v>4688</v>
      </c>
    </row>
    <row r="255" ht="20.45" customHeight="1" spans="4:8">
      <c r="D255" s="116" t="s">
        <v>580</v>
      </c>
      <c r="E255" s="117" t="str">
        <f>$G$249</f>
        <v>No</v>
      </c>
      <c r="F255" s="117"/>
      <c r="G255" s="118"/>
      <c r="H255" s="115">
        <f>H254/E254</f>
        <v>468.8</v>
      </c>
    </row>
    <row r="256" s="81" customFormat="1" ht="15" customHeight="1" spans="1:11">
      <c r="A256" s="93"/>
      <c r="B256" s="125"/>
      <c r="C256" s="125"/>
      <c r="D256" s="124" t="s">
        <v>581</v>
      </c>
      <c r="E256" s="121"/>
      <c r="F256" s="121"/>
      <c r="G256" s="122" t="s">
        <v>194</v>
      </c>
      <c r="H256" s="157">
        <f>ROUND(H255,0)</f>
        <v>469</v>
      </c>
      <c r="K256" s="132"/>
    </row>
    <row r="257" s="81" customFormat="1" ht="30.6" customHeight="1" spans="1:8">
      <c r="A257" s="93"/>
      <c r="B257" s="93"/>
      <c r="C257" s="93"/>
      <c r="D257" s="94"/>
      <c r="E257" s="95"/>
      <c r="F257" s="95"/>
      <c r="G257" s="96"/>
      <c r="H257" s="97"/>
    </row>
    <row r="258" s="83" customFormat="1" ht="24.95" customHeight="1" spans="1:9">
      <c r="A258" s="153">
        <v>12.24</v>
      </c>
      <c r="B258" s="154"/>
      <c r="C258" s="106" t="s">
        <v>1070</v>
      </c>
      <c r="D258" s="106"/>
      <c r="E258" s="106"/>
      <c r="F258" s="106"/>
      <c r="G258" s="106"/>
      <c r="H258" s="106"/>
      <c r="I258" s="128"/>
    </row>
    <row r="259" s="84" customFormat="1" ht="18" customHeight="1" spans="4:8">
      <c r="D259" s="107"/>
      <c r="E259" s="108" t="s">
        <v>570</v>
      </c>
      <c r="F259" s="107">
        <v>10</v>
      </c>
      <c r="G259" s="108" t="s">
        <v>194</v>
      </c>
      <c r="H259" s="109"/>
    </row>
    <row r="260" s="85" customFormat="1" ht="12" customHeight="1" spans="2:8">
      <c r="B260" s="110" t="s">
        <v>194</v>
      </c>
      <c r="C260" s="110" t="s">
        <v>573</v>
      </c>
      <c r="D260" s="110" t="s">
        <v>574</v>
      </c>
      <c r="E260" s="110" t="s">
        <v>6</v>
      </c>
      <c r="F260" s="110" t="s">
        <v>575</v>
      </c>
      <c r="G260" s="110" t="s">
        <v>576</v>
      </c>
      <c r="H260" s="111" t="s">
        <v>577</v>
      </c>
    </row>
    <row r="261" ht="20.45" customHeight="1" spans="2:8">
      <c r="B261" s="112">
        <v>1.00999999046326</v>
      </c>
      <c r="C261" s="113" t="s">
        <v>1071</v>
      </c>
      <c r="D261" s="112" t="s">
        <v>454</v>
      </c>
      <c r="E261" s="455" t="s">
        <v>194</v>
      </c>
      <c r="F261" s="112">
        <v>10</v>
      </c>
      <c r="G261" s="155">
        <f>'Basic Rates'!E126</f>
        <v>165.5</v>
      </c>
      <c r="H261" s="115">
        <f>G261*F261</f>
        <v>1655</v>
      </c>
    </row>
    <row r="262" ht="20.45" customHeight="1" spans="2:8">
      <c r="B262" s="112">
        <v>1.01999998092651</v>
      </c>
      <c r="C262" s="113" t="s">
        <v>440</v>
      </c>
      <c r="D262" s="112" t="s">
        <v>441</v>
      </c>
      <c r="E262" s="455" t="s">
        <v>442</v>
      </c>
      <c r="F262" s="112">
        <v>210</v>
      </c>
      <c r="G262" s="155">
        <f>'Basic Rates'!$E$120</f>
        <v>1.4</v>
      </c>
      <c r="H262" s="115">
        <f>G262*F262</f>
        <v>294</v>
      </c>
    </row>
    <row r="263" ht="20.45" customHeight="1" spans="2:8">
      <c r="B263" s="112">
        <v>1.05999994277954</v>
      </c>
      <c r="C263" s="113" t="s">
        <v>181</v>
      </c>
      <c r="D263" s="112" t="s">
        <v>182</v>
      </c>
      <c r="E263" s="112" t="s">
        <v>175</v>
      </c>
      <c r="F263" s="112">
        <v>1</v>
      </c>
      <c r="G263" s="155">
        <f>'Basic Rates'!$J$5</f>
        <v>3500</v>
      </c>
      <c r="H263" s="115">
        <f>G263*F263</f>
        <v>3500</v>
      </c>
    </row>
    <row r="264" ht="20.45" customHeight="1" spans="4:8">
      <c r="D264" s="116" t="s">
        <v>579</v>
      </c>
      <c r="E264" s="117">
        <f>$F$259</f>
        <v>10</v>
      </c>
      <c r="F264" s="117" t="str">
        <f>$G$259</f>
        <v>No</v>
      </c>
      <c r="G264" s="118"/>
      <c r="H264" s="115">
        <f>SUM(H260:H263)</f>
        <v>5449</v>
      </c>
    </row>
    <row r="265" ht="20.45" customHeight="1" spans="4:8">
      <c r="D265" s="116" t="s">
        <v>580</v>
      </c>
      <c r="E265" s="117" t="str">
        <f>$G$259</f>
        <v>No</v>
      </c>
      <c r="F265" s="117"/>
      <c r="G265" s="118"/>
      <c r="H265" s="115">
        <f>H264/E264</f>
        <v>544.9</v>
      </c>
    </row>
    <row r="266" s="81" customFormat="1" ht="15" customHeight="1" spans="1:11">
      <c r="A266" s="93"/>
      <c r="B266" s="125"/>
      <c r="C266" s="125"/>
      <c r="D266" s="124" t="s">
        <v>581</v>
      </c>
      <c r="E266" s="121"/>
      <c r="F266" s="121"/>
      <c r="G266" s="122" t="s">
        <v>194</v>
      </c>
      <c r="H266" s="157">
        <f>ROUND(H265,0)</f>
        <v>545</v>
      </c>
      <c r="K266" s="132"/>
    </row>
    <row r="267" s="81" customFormat="1" ht="30.6" customHeight="1" spans="1:8">
      <c r="A267" s="93"/>
      <c r="B267" s="93"/>
      <c r="C267" s="93"/>
      <c r="D267" s="94"/>
      <c r="E267" s="95"/>
      <c r="F267" s="95"/>
      <c r="G267" s="96"/>
      <c r="H267" s="97"/>
    </row>
    <row r="268" s="83" customFormat="1" ht="24.95" customHeight="1" spans="1:9">
      <c r="A268" s="153">
        <v>12.25</v>
      </c>
      <c r="B268" s="154"/>
      <c r="C268" s="106" t="s">
        <v>1072</v>
      </c>
      <c r="D268" s="106"/>
      <c r="E268" s="106"/>
      <c r="F268" s="106"/>
      <c r="G268" s="106"/>
      <c r="H268" s="106"/>
      <c r="I268" s="128"/>
    </row>
    <row r="269" s="84" customFormat="1" ht="18" customHeight="1" spans="4:8">
      <c r="D269" s="107"/>
      <c r="E269" s="108" t="s">
        <v>570</v>
      </c>
      <c r="F269" s="107">
        <v>10</v>
      </c>
      <c r="G269" s="108" t="s">
        <v>194</v>
      </c>
      <c r="H269" s="109"/>
    </row>
    <row r="270" s="85" customFormat="1" ht="12" customHeight="1" spans="2:8">
      <c r="B270" s="110" t="s">
        <v>194</v>
      </c>
      <c r="C270" s="110" t="s">
        <v>573</v>
      </c>
      <c r="D270" s="110" t="s">
        <v>574</v>
      </c>
      <c r="E270" s="110" t="s">
        <v>6</v>
      </c>
      <c r="F270" s="110" t="s">
        <v>575</v>
      </c>
      <c r="G270" s="110" t="s">
        <v>576</v>
      </c>
      <c r="H270" s="111" t="s">
        <v>577</v>
      </c>
    </row>
    <row r="271" ht="20.45" customHeight="1" spans="2:8">
      <c r="B271" s="112">
        <v>1.00999999046326</v>
      </c>
      <c r="C271" s="113" t="s">
        <v>1073</v>
      </c>
      <c r="D271" s="112" t="s">
        <v>456</v>
      </c>
      <c r="E271" s="455" t="s">
        <v>194</v>
      </c>
      <c r="F271" s="112">
        <v>10</v>
      </c>
      <c r="G271" s="155">
        <f>'Basic Rates'!E127</f>
        <v>526</v>
      </c>
      <c r="H271" s="115">
        <f>G271*F271</f>
        <v>5260</v>
      </c>
    </row>
    <row r="272" ht="20.45" customHeight="1" spans="2:8">
      <c r="B272" s="112">
        <v>1.01999998092651</v>
      </c>
      <c r="C272" s="113" t="s">
        <v>440</v>
      </c>
      <c r="D272" s="112" t="s">
        <v>441</v>
      </c>
      <c r="E272" s="455" t="s">
        <v>442</v>
      </c>
      <c r="F272" s="112">
        <v>300</v>
      </c>
      <c r="G272" s="155">
        <f>'Basic Rates'!$E$120</f>
        <v>1.4</v>
      </c>
      <c r="H272" s="115">
        <f>G272*F272</f>
        <v>420</v>
      </c>
    </row>
    <row r="273" ht="20.45" customHeight="1" spans="2:8">
      <c r="B273" s="112">
        <v>1.05999994277954</v>
      </c>
      <c r="C273" s="113" t="s">
        <v>181</v>
      </c>
      <c r="D273" s="112" t="s">
        <v>182</v>
      </c>
      <c r="E273" s="112" t="s">
        <v>175</v>
      </c>
      <c r="F273" s="112">
        <v>1.5</v>
      </c>
      <c r="G273" s="155">
        <f>'Basic Rates'!$J$5</f>
        <v>3500</v>
      </c>
      <c r="H273" s="115">
        <f>G273*F273</f>
        <v>5250</v>
      </c>
    </row>
    <row r="274" ht="20.45" customHeight="1" spans="4:8">
      <c r="D274" s="116" t="s">
        <v>579</v>
      </c>
      <c r="E274" s="117">
        <f>$F$269</f>
        <v>10</v>
      </c>
      <c r="F274" s="117" t="str">
        <f>$G$269</f>
        <v>No</v>
      </c>
      <c r="G274" s="118"/>
      <c r="H274" s="115">
        <f>SUM(H270:H273)</f>
        <v>10930</v>
      </c>
    </row>
    <row r="275" ht="20.45" customHeight="1" spans="4:8">
      <c r="D275" s="116" t="s">
        <v>580</v>
      </c>
      <c r="E275" s="117" t="str">
        <f>$G$269</f>
        <v>No</v>
      </c>
      <c r="F275" s="117"/>
      <c r="G275" s="118"/>
      <c r="H275" s="115">
        <f>H274/E274</f>
        <v>1093</v>
      </c>
    </row>
    <row r="276" s="81" customFormat="1" ht="15" customHeight="1" spans="1:11">
      <c r="A276" s="93"/>
      <c r="B276" s="125"/>
      <c r="C276" s="125"/>
      <c r="D276" s="124" t="s">
        <v>581</v>
      </c>
      <c r="E276" s="121"/>
      <c r="F276" s="121"/>
      <c r="G276" s="122" t="s">
        <v>194</v>
      </c>
      <c r="H276" s="157">
        <f>ROUND(H275,0)</f>
        <v>1093</v>
      </c>
      <c r="K276" s="132"/>
    </row>
    <row r="277" s="81" customFormat="1" ht="30.6" customHeight="1" spans="1:8">
      <c r="A277" s="93"/>
      <c r="B277" s="93"/>
      <c r="C277" s="93"/>
      <c r="D277" s="94"/>
      <c r="E277" s="95"/>
      <c r="F277" s="95"/>
      <c r="G277" s="96"/>
      <c r="H277" s="97"/>
    </row>
    <row r="278" s="83" customFormat="1" ht="24.95" customHeight="1" spans="1:9">
      <c r="A278" s="153">
        <v>12.26</v>
      </c>
      <c r="B278" s="154"/>
      <c r="C278" s="106" t="s">
        <v>1074</v>
      </c>
      <c r="D278" s="106"/>
      <c r="E278" s="106"/>
      <c r="F278" s="106"/>
      <c r="G278" s="106"/>
      <c r="H278" s="106"/>
      <c r="I278" s="128"/>
    </row>
    <row r="279" s="84" customFormat="1" ht="18" customHeight="1" spans="4:8">
      <c r="D279" s="107"/>
      <c r="E279" s="108" t="s">
        <v>570</v>
      </c>
      <c r="F279" s="107">
        <v>10</v>
      </c>
      <c r="G279" s="108" t="s">
        <v>194</v>
      </c>
      <c r="H279" s="109"/>
    </row>
    <row r="280" s="85" customFormat="1" ht="12" customHeight="1" spans="2:8">
      <c r="B280" s="110" t="s">
        <v>194</v>
      </c>
      <c r="C280" s="110" t="s">
        <v>573</v>
      </c>
      <c r="D280" s="110" t="s">
        <v>574</v>
      </c>
      <c r="E280" s="110" t="s">
        <v>6</v>
      </c>
      <c r="F280" s="110" t="s">
        <v>575</v>
      </c>
      <c r="G280" s="110" t="s">
        <v>576</v>
      </c>
      <c r="H280" s="111" t="s">
        <v>577</v>
      </c>
    </row>
    <row r="281" ht="20.45" customHeight="1" spans="2:8">
      <c r="B281" s="112">
        <v>1.00999999046326</v>
      </c>
      <c r="C281" s="113" t="s">
        <v>1075</v>
      </c>
      <c r="D281" s="112" t="s">
        <v>458</v>
      </c>
      <c r="E281" s="455" t="s">
        <v>194</v>
      </c>
      <c r="F281" s="112">
        <v>10</v>
      </c>
      <c r="G281" s="155">
        <f>'Basic Rates'!E128</f>
        <v>875</v>
      </c>
      <c r="H281" s="115">
        <f>G281*F281</f>
        <v>8750</v>
      </c>
    </row>
    <row r="282" ht="20.45" customHeight="1" spans="2:8">
      <c r="B282" s="112">
        <v>1.01999998092651</v>
      </c>
      <c r="C282" s="113" t="s">
        <v>440</v>
      </c>
      <c r="D282" s="112" t="s">
        <v>441</v>
      </c>
      <c r="E282" s="455" t="s">
        <v>442</v>
      </c>
      <c r="F282" s="112">
        <v>360</v>
      </c>
      <c r="G282" s="155">
        <f>'Basic Rates'!$E$120</f>
        <v>1.4</v>
      </c>
      <c r="H282" s="115">
        <f>G282*F282</f>
        <v>504</v>
      </c>
    </row>
    <row r="283" ht="20.45" customHeight="1" spans="2:8">
      <c r="B283" s="112">
        <v>1.05999994277954</v>
      </c>
      <c r="C283" s="113" t="s">
        <v>181</v>
      </c>
      <c r="D283" s="112" t="s">
        <v>182</v>
      </c>
      <c r="E283" s="112" t="s">
        <v>175</v>
      </c>
      <c r="F283" s="112">
        <v>1.5</v>
      </c>
      <c r="G283" s="155">
        <f>'Basic Rates'!$J$5</f>
        <v>3500</v>
      </c>
      <c r="H283" s="115">
        <f>G283*F283</f>
        <v>5250</v>
      </c>
    </row>
    <row r="284" ht="20.45" customHeight="1" spans="4:8">
      <c r="D284" s="116" t="s">
        <v>579</v>
      </c>
      <c r="E284" s="117">
        <f>$F$279</f>
        <v>10</v>
      </c>
      <c r="F284" s="117" t="str">
        <f>$G$279</f>
        <v>No</v>
      </c>
      <c r="G284" s="118"/>
      <c r="H284" s="115">
        <f>SUM(H280:H283)</f>
        <v>14504</v>
      </c>
    </row>
    <row r="285" ht="20.45" customHeight="1" spans="4:8">
      <c r="D285" s="116" t="s">
        <v>580</v>
      </c>
      <c r="E285" s="117" t="str">
        <f>$G$279</f>
        <v>No</v>
      </c>
      <c r="F285" s="117"/>
      <c r="G285" s="118"/>
      <c r="H285" s="115">
        <f>H284/E284</f>
        <v>1450.4</v>
      </c>
    </row>
    <row r="286" s="81" customFormat="1" ht="15" customHeight="1" spans="1:11">
      <c r="A286" s="93"/>
      <c r="B286" s="125"/>
      <c r="C286" s="125"/>
      <c r="D286" s="124" t="s">
        <v>581</v>
      </c>
      <c r="E286" s="121"/>
      <c r="F286" s="121"/>
      <c r="G286" s="122" t="s">
        <v>194</v>
      </c>
      <c r="H286" s="157">
        <f>ROUND(H285,0)</f>
        <v>1450</v>
      </c>
      <c r="K286" s="132"/>
    </row>
  </sheetData>
  <mergeCells count="53">
    <mergeCell ref="A2:H2"/>
    <mergeCell ref="A4:B4"/>
    <mergeCell ref="C4:H4"/>
    <mergeCell ref="A16:B16"/>
    <mergeCell ref="C16:H16"/>
    <mergeCell ref="A28:B28"/>
    <mergeCell ref="C28:H28"/>
    <mergeCell ref="A42:B42"/>
    <mergeCell ref="C42:H42"/>
    <mergeCell ref="A56:B56"/>
    <mergeCell ref="C56:H56"/>
    <mergeCell ref="A70:B70"/>
    <mergeCell ref="C70:H70"/>
    <mergeCell ref="A84:B84"/>
    <mergeCell ref="C84:H84"/>
    <mergeCell ref="A98:B98"/>
    <mergeCell ref="C98:H98"/>
    <mergeCell ref="A106:B106"/>
    <mergeCell ref="C106:H106"/>
    <mergeCell ref="A117:B117"/>
    <mergeCell ref="C117:H117"/>
    <mergeCell ref="A128:B128"/>
    <mergeCell ref="C128:H128"/>
    <mergeCell ref="A138:B138"/>
    <mergeCell ref="C138:H138"/>
    <mergeCell ref="A148:B148"/>
    <mergeCell ref="C148:H148"/>
    <mergeCell ref="A158:B158"/>
    <mergeCell ref="C158:H158"/>
    <mergeCell ref="A168:B168"/>
    <mergeCell ref="C168:H168"/>
    <mergeCell ref="A178:B178"/>
    <mergeCell ref="C178:H178"/>
    <mergeCell ref="A188:B188"/>
    <mergeCell ref="C188:H188"/>
    <mergeCell ref="A198:B198"/>
    <mergeCell ref="C198:H198"/>
    <mergeCell ref="A208:B208"/>
    <mergeCell ref="C208:H208"/>
    <mergeCell ref="A218:B218"/>
    <mergeCell ref="C218:H218"/>
    <mergeCell ref="A228:B228"/>
    <mergeCell ref="C228:H228"/>
    <mergeCell ref="A238:B238"/>
    <mergeCell ref="C238:H238"/>
    <mergeCell ref="A248:B248"/>
    <mergeCell ref="C248:H248"/>
    <mergeCell ref="A258:B258"/>
    <mergeCell ref="C258:H258"/>
    <mergeCell ref="A268:B268"/>
    <mergeCell ref="C268:H268"/>
    <mergeCell ref="A278:B278"/>
    <mergeCell ref="C278:H278"/>
  </mergeCell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indexed="17"/>
  </sheetPr>
  <dimension ref="A1:FY100"/>
  <sheetViews>
    <sheetView topLeftCell="A67" workbookViewId="0">
      <selection activeCell="G87" sqref="G87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4.7142857142857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16384" width="9.14285714285714" style="6"/>
  </cols>
  <sheetData>
    <row r="1" s="4" customFormat="1" ht="9.75" customHeight="1" spans="1:8">
      <c r="A1" s="42"/>
      <c r="B1" s="42"/>
      <c r="C1" s="42"/>
      <c r="D1" s="50"/>
      <c r="E1" s="51"/>
      <c r="F1" s="51"/>
      <c r="G1" s="52"/>
      <c r="H1" s="53"/>
    </row>
    <row r="2" ht="20.1" customHeight="1" spans="1:9">
      <c r="A2" s="143" t="s">
        <v>1076</v>
      </c>
      <c r="B2" s="143"/>
      <c r="C2" s="143"/>
      <c r="D2" s="143"/>
      <c r="E2" s="143"/>
      <c r="F2" s="143"/>
      <c r="G2" s="143"/>
      <c r="H2" s="143"/>
      <c r="I2" s="54"/>
    </row>
    <row r="3" s="1" customFormat="1" ht="9" customHeight="1" spans="1:9">
      <c r="A3" s="11"/>
      <c r="B3" s="12"/>
      <c r="C3" s="13"/>
      <c r="D3" s="14"/>
      <c r="E3" s="14"/>
      <c r="F3" s="14"/>
      <c r="G3" s="15"/>
      <c r="H3" s="16"/>
      <c r="I3" s="55"/>
    </row>
    <row r="4" s="1" customFormat="1" ht="20.1" customHeight="1" spans="1:9">
      <c r="A4" s="11"/>
      <c r="B4" s="17" t="s">
        <v>564</v>
      </c>
      <c r="C4" s="18" t="s">
        <v>1077</v>
      </c>
      <c r="D4" s="14"/>
      <c r="E4" s="14"/>
      <c r="F4" s="14"/>
      <c r="G4" s="15"/>
      <c r="H4" s="16"/>
      <c r="I4" s="55"/>
    </row>
    <row r="5" s="1" customFormat="1" ht="20.1" customHeight="1" spans="1:9">
      <c r="A5" s="11"/>
      <c r="B5" s="17" t="s">
        <v>566</v>
      </c>
      <c r="C5" s="18" t="s">
        <v>1078</v>
      </c>
      <c r="D5" s="14"/>
      <c r="E5" s="14"/>
      <c r="F5" s="14"/>
      <c r="G5" s="15"/>
      <c r="H5" s="16"/>
      <c r="I5" s="55"/>
    </row>
    <row r="6" s="1" customFormat="1" ht="11.25" customHeight="1" spans="1:8">
      <c r="A6" s="11"/>
      <c r="B6" s="13"/>
      <c r="C6" s="14"/>
      <c r="D6" s="14"/>
      <c r="E6" s="14"/>
      <c r="F6" s="14"/>
      <c r="G6" s="15"/>
      <c r="H6" s="144"/>
    </row>
    <row r="7" s="1" customFormat="1" ht="20.25" customHeight="1" spans="1:9">
      <c r="A7" s="59" t="s">
        <v>1077</v>
      </c>
      <c r="B7" s="22"/>
      <c r="C7" s="22"/>
      <c r="D7" s="22"/>
      <c r="E7" s="22"/>
      <c r="F7" s="22"/>
      <c r="G7" s="22"/>
      <c r="H7" s="60"/>
      <c r="I7" s="56"/>
    </row>
    <row r="8" s="1" customFormat="1" ht="9" customHeight="1" spans="2:8">
      <c r="B8" s="25"/>
      <c r="C8" s="26"/>
      <c r="D8" s="26"/>
      <c r="E8" s="26"/>
      <c r="F8" s="26"/>
      <c r="G8" s="27"/>
      <c r="H8" s="28"/>
    </row>
    <row r="9" ht="28.5" customHeight="1" spans="1:8">
      <c r="A9" s="29" t="s">
        <v>1079</v>
      </c>
      <c r="B9" s="29"/>
      <c r="C9" s="30" t="s">
        <v>1080</v>
      </c>
      <c r="D9" s="30"/>
      <c r="E9" s="30"/>
      <c r="F9" s="30"/>
      <c r="G9" s="30"/>
      <c r="H9" s="30"/>
    </row>
    <row r="10" ht="14.25" customHeight="1" spans="1:8">
      <c r="A10" s="3"/>
      <c r="B10" s="3"/>
      <c r="C10" s="3"/>
      <c r="D10" s="31"/>
      <c r="E10" s="32" t="s">
        <v>570</v>
      </c>
      <c r="F10" s="31">
        <v>1</v>
      </c>
      <c r="G10" s="32" t="s">
        <v>571</v>
      </c>
      <c r="H10" s="33"/>
    </row>
    <row r="11" ht="14.25" customHeight="1" spans="2:8">
      <c r="B11" s="34" t="s">
        <v>194</v>
      </c>
      <c r="C11" s="34" t="s">
        <v>573</v>
      </c>
      <c r="D11" s="34" t="s">
        <v>574</v>
      </c>
      <c r="E11" s="34" t="s">
        <v>6</v>
      </c>
      <c r="F11" s="34" t="s">
        <v>575</v>
      </c>
      <c r="G11" s="34" t="s">
        <v>576</v>
      </c>
      <c r="H11" s="35" t="s">
        <v>577</v>
      </c>
    </row>
    <row r="12" s="2" customFormat="1" ht="20.1" customHeight="1" spans="1:9">
      <c r="A12" s="6"/>
      <c r="B12" s="34">
        <v>1.00999999046326</v>
      </c>
      <c r="C12" s="36" t="s">
        <v>1081</v>
      </c>
      <c r="D12" s="34" t="s">
        <v>522</v>
      </c>
      <c r="E12" s="457" t="s">
        <v>194</v>
      </c>
      <c r="F12" s="34">
        <v>400</v>
      </c>
      <c r="G12" s="75">
        <f>'Basic Rates'!E159</f>
        <v>75</v>
      </c>
      <c r="H12" s="38">
        <f>G12*F12</f>
        <v>30000</v>
      </c>
      <c r="I12" s="57"/>
    </row>
    <row r="13" s="3" customFormat="1" ht="20.1" customHeight="1" spans="1:8">
      <c r="A13" s="6"/>
      <c r="B13" s="34">
        <v>1.01999998092651</v>
      </c>
      <c r="C13" s="36" t="s">
        <v>884</v>
      </c>
      <c r="D13" s="457" t="s">
        <v>676</v>
      </c>
      <c r="E13" s="457" t="s">
        <v>676</v>
      </c>
      <c r="F13" s="457" t="s">
        <v>676</v>
      </c>
      <c r="G13" s="457" t="s">
        <v>676</v>
      </c>
      <c r="H13" s="38">
        <f>(H12)*10/100</f>
        <v>3000</v>
      </c>
    </row>
    <row r="14" ht="20.1" customHeight="1" spans="2:8">
      <c r="B14" s="34">
        <v>1.02999997138977</v>
      </c>
      <c r="C14" s="36" t="s">
        <v>24</v>
      </c>
      <c r="D14" s="112" t="s">
        <v>253</v>
      </c>
      <c r="E14" s="34" t="s">
        <v>254</v>
      </c>
      <c r="F14" s="34">
        <v>2.5</v>
      </c>
      <c r="G14" s="114">
        <f>'Basic Rates'!$E$29</f>
        <v>2400</v>
      </c>
      <c r="H14" s="38">
        <f t="shared" ref="H14:H19" si="0">G14*F14</f>
        <v>6000</v>
      </c>
    </row>
    <row r="15" ht="20.1" customHeight="1" spans="2:8">
      <c r="B15" s="34">
        <v>1.03999996185303</v>
      </c>
      <c r="C15" s="36" t="s">
        <v>28</v>
      </c>
      <c r="D15" s="112" t="s">
        <v>433</v>
      </c>
      <c r="E15" s="457" t="s">
        <v>638</v>
      </c>
      <c r="F15" s="34">
        <v>0.11</v>
      </c>
      <c r="G15" s="114">
        <f>'Basic Rates'!$E$116</f>
        <v>18000</v>
      </c>
      <c r="H15" s="38">
        <f t="shared" si="0"/>
        <v>1980</v>
      </c>
    </row>
    <row r="16" ht="20.1" customHeight="1" spans="2:8">
      <c r="B16" s="34">
        <v>1.04999995231628</v>
      </c>
      <c r="C16" s="36" t="s">
        <v>1082</v>
      </c>
      <c r="D16" s="34" t="s">
        <v>529</v>
      </c>
      <c r="E16" s="457" t="s">
        <v>199</v>
      </c>
      <c r="F16" s="34">
        <v>1</v>
      </c>
      <c r="G16" s="75">
        <f>'Basic Rates'!$E$163</f>
        <v>17.5</v>
      </c>
      <c r="H16" s="38">
        <f t="shared" si="0"/>
        <v>17.5</v>
      </c>
    </row>
    <row r="17" ht="20.1" customHeight="1" spans="2:8">
      <c r="B17" s="34">
        <v>1.05999994277954</v>
      </c>
      <c r="C17" s="36" t="s">
        <v>217</v>
      </c>
      <c r="D17" s="112" t="s">
        <v>218</v>
      </c>
      <c r="E17" s="34" t="s">
        <v>175</v>
      </c>
      <c r="F17" s="34">
        <v>4</v>
      </c>
      <c r="G17" s="114">
        <f>'Basic Rates'!$J$12</f>
        <v>3500</v>
      </c>
      <c r="H17" s="38">
        <f t="shared" si="0"/>
        <v>14000</v>
      </c>
    </row>
    <row r="18" ht="20.1" customHeight="1" spans="2:8">
      <c r="B18" s="34">
        <v>1.07000005245209</v>
      </c>
      <c r="C18" s="36" t="s">
        <v>208</v>
      </c>
      <c r="D18" s="112" t="s">
        <v>209</v>
      </c>
      <c r="E18" s="457" t="s">
        <v>175</v>
      </c>
      <c r="F18" s="34">
        <v>4</v>
      </c>
      <c r="G18" s="114">
        <f>'Basic Rates'!$J$10</f>
        <v>2300</v>
      </c>
      <c r="H18" s="38">
        <f t="shared" si="0"/>
        <v>9200</v>
      </c>
    </row>
    <row r="19" ht="20.1" customHeight="1" spans="2:10">
      <c r="B19" s="34">
        <v>1.08000004291534</v>
      </c>
      <c r="C19" s="36" t="s">
        <v>208</v>
      </c>
      <c r="D19" s="112" t="s">
        <v>209</v>
      </c>
      <c r="E19" s="457" t="s">
        <v>175</v>
      </c>
      <c r="F19" s="34">
        <v>0.25</v>
      </c>
      <c r="G19" s="114">
        <f>'Basic Rates'!$J$10</f>
        <v>2300</v>
      </c>
      <c r="H19" s="38">
        <f t="shared" si="0"/>
        <v>575</v>
      </c>
      <c r="I19" s="145"/>
      <c r="J19" s="145"/>
    </row>
    <row r="20" ht="20.1" customHeight="1" spans="2:8">
      <c r="B20" s="61"/>
      <c r="C20" s="61"/>
      <c r="D20" s="39" t="s">
        <v>579</v>
      </c>
      <c r="E20" s="40">
        <f>$F$31</f>
        <v>1</v>
      </c>
      <c r="F20" s="40" t="str">
        <f>$G$31</f>
        <v>Sqr</v>
      </c>
      <c r="G20" s="41"/>
      <c r="H20" s="38">
        <f>SUM(H12:H19)</f>
        <v>64772.5</v>
      </c>
    </row>
    <row r="21" ht="20.1" customHeight="1" spans="2:8">
      <c r="B21" s="61"/>
      <c r="C21" s="61"/>
      <c r="D21" s="39" t="s">
        <v>580</v>
      </c>
      <c r="E21" s="40" t="str">
        <f>$G$31</f>
        <v>Sqr</v>
      </c>
      <c r="F21" s="40"/>
      <c r="G21" s="41"/>
      <c r="H21" s="38">
        <f>H20/F10</f>
        <v>64772.5</v>
      </c>
    </row>
    <row r="22" ht="20.1" customHeight="1" spans="1:8">
      <c r="A22" s="42"/>
      <c r="B22" s="43"/>
      <c r="C22" s="43"/>
      <c r="D22" s="44" t="s">
        <v>581</v>
      </c>
      <c r="E22" s="45"/>
      <c r="F22" s="45"/>
      <c r="G22" s="46" t="s">
        <v>784</v>
      </c>
      <c r="H22" s="47">
        <f>ROUND(H21,0)</f>
        <v>64773</v>
      </c>
    </row>
    <row r="23" ht="20.1" customHeight="1" spans="1:8">
      <c r="A23" s="42"/>
      <c r="B23" s="43"/>
      <c r="C23" s="43"/>
      <c r="D23" s="44" t="s">
        <v>581</v>
      </c>
      <c r="E23" s="45"/>
      <c r="F23" s="45"/>
      <c r="G23" s="46" t="s">
        <v>785</v>
      </c>
      <c r="H23" s="47">
        <f>H22/100</f>
        <v>647.73</v>
      </c>
    </row>
    <row r="24" ht="20.1" customHeight="1" spans="1:8">
      <c r="A24" s="42"/>
      <c r="B24" s="43"/>
      <c r="C24" s="43"/>
      <c r="D24" s="44" t="s">
        <v>581</v>
      </c>
      <c r="E24" s="45"/>
      <c r="F24" s="45"/>
      <c r="G24" s="46" t="s">
        <v>758</v>
      </c>
      <c r="H24" s="47">
        <f>H23*10.76</f>
        <v>6969.5748</v>
      </c>
    </row>
    <row r="25" s="4" customFormat="1" ht="20.1" customHeight="1" spans="1:8">
      <c r="A25" s="42"/>
      <c r="B25" s="42"/>
      <c r="D25" s="48" t="s">
        <v>746</v>
      </c>
      <c r="E25" s="49"/>
      <c r="F25" s="49"/>
      <c r="G25" s="46" t="s">
        <v>758</v>
      </c>
      <c r="H25" s="47">
        <f>H24</f>
        <v>6969.5748</v>
      </c>
    </row>
    <row r="26" s="4" customFormat="1" ht="20.1" customHeight="1" spans="1:8">
      <c r="A26" s="42"/>
      <c r="B26" s="42"/>
      <c r="D26" s="48" t="s">
        <v>747</v>
      </c>
      <c r="E26" s="49"/>
      <c r="F26" s="49"/>
      <c r="G26" s="46" t="s">
        <v>758</v>
      </c>
      <c r="H26" s="47">
        <f>H25*1.1</f>
        <v>7666.53228</v>
      </c>
    </row>
    <row r="27" s="4" customFormat="1" ht="20.1" customHeight="1" spans="1:8">
      <c r="A27" s="42"/>
      <c r="B27" s="42"/>
      <c r="D27" s="48" t="s">
        <v>748</v>
      </c>
      <c r="E27" s="49"/>
      <c r="F27" s="49"/>
      <c r="G27" s="46" t="s">
        <v>758</v>
      </c>
      <c r="H27" s="47">
        <f>H26*1.1</f>
        <v>8433.185508</v>
      </c>
    </row>
    <row r="28" s="4" customFormat="1" ht="20.1" customHeight="1" spans="1:8">
      <c r="A28" s="42"/>
      <c r="B28" s="42"/>
      <c r="D28" s="48" t="s">
        <v>749</v>
      </c>
      <c r="E28" s="49"/>
      <c r="F28" s="49"/>
      <c r="G28" s="46" t="s">
        <v>758</v>
      </c>
      <c r="H28" s="47">
        <f>H27*1.1</f>
        <v>9276.5040588</v>
      </c>
    </row>
    <row r="29" s="62" customFormat="1" ht="20.1" customHeight="1" spans="4:8">
      <c r="D29" s="64"/>
      <c r="E29" s="65"/>
      <c r="F29" s="65"/>
      <c r="G29" s="66"/>
      <c r="H29" s="67"/>
    </row>
    <row r="30" ht="28.5" customHeight="1" spans="1:8">
      <c r="A30" s="29" t="s">
        <v>1083</v>
      </c>
      <c r="B30" s="29"/>
      <c r="C30" s="30" t="s">
        <v>1080</v>
      </c>
      <c r="D30" s="30"/>
      <c r="E30" s="30"/>
      <c r="F30" s="30"/>
      <c r="G30" s="30"/>
      <c r="H30" s="30"/>
    </row>
    <row r="31" ht="14.25" customHeight="1" spans="1:8">
      <c r="A31" s="3"/>
      <c r="B31" s="3"/>
      <c r="C31" s="3"/>
      <c r="D31" s="31"/>
      <c r="E31" s="32" t="s">
        <v>570</v>
      </c>
      <c r="F31" s="31">
        <v>1</v>
      </c>
      <c r="G31" s="32" t="s">
        <v>571</v>
      </c>
      <c r="H31" s="33"/>
    </row>
    <row r="32" ht="14.25" customHeight="1" spans="2:8">
      <c r="B32" s="34" t="s">
        <v>194</v>
      </c>
      <c r="C32" s="34" t="s">
        <v>573</v>
      </c>
      <c r="D32" s="34" t="s">
        <v>574</v>
      </c>
      <c r="E32" s="34" t="s">
        <v>6</v>
      </c>
      <c r="F32" s="34" t="s">
        <v>575</v>
      </c>
      <c r="G32" s="34" t="s">
        <v>576</v>
      </c>
      <c r="H32" s="35" t="s">
        <v>577</v>
      </c>
    </row>
    <row r="33" s="2" customFormat="1" ht="20.1" customHeight="1" spans="1:9">
      <c r="A33" s="6"/>
      <c r="B33" s="34">
        <v>1.00999999046326</v>
      </c>
      <c r="C33" s="36" t="s">
        <v>1084</v>
      </c>
      <c r="D33" s="34" t="s">
        <v>524</v>
      </c>
      <c r="E33" s="457" t="s">
        <v>194</v>
      </c>
      <c r="F33" s="34">
        <v>150</v>
      </c>
      <c r="G33" s="75">
        <f>'Basic Rates'!E160</f>
        <v>100</v>
      </c>
      <c r="H33" s="38">
        <f t="shared" ref="H33:H40" si="1">G33*F33</f>
        <v>15000</v>
      </c>
      <c r="I33" s="57"/>
    </row>
    <row r="34" s="3" customFormat="1" ht="20.1" customHeight="1" spans="1:8">
      <c r="A34" s="6"/>
      <c r="B34" s="34">
        <v>1.01999998092651</v>
      </c>
      <c r="C34" s="36" t="s">
        <v>884</v>
      </c>
      <c r="D34" s="457" t="s">
        <v>676</v>
      </c>
      <c r="E34" s="457" t="s">
        <v>676</v>
      </c>
      <c r="F34" s="457" t="s">
        <v>676</v>
      </c>
      <c r="G34" s="457" t="s">
        <v>676</v>
      </c>
      <c r="H34" s="38">
        <f>(H33)*10/100</f>
        <v>1500</v>
      </c>
    </row>
    <row r="35" ht="20.1" customHeight="1" spans="2:8">
      <c r="B35" s="34">
        <v>1.02999997138977</v>
      </c>
      <c r="C35" s="36" t="s">
        <v>24</v>
      </c>
      <c r="D35" s="112" t="s">
        <v>253</v>
      </c>
      <c r="E35" s="34" t="s">
        <v>254</v>
      </c>
      <c r="F35" s="34">
        <v>2.5</v>
      </c>
      <c r="G35" s="114">
        <f>'Basic Rates'!$E$29</f>
        <v>2400</v>
      </c>
      <c r="H35" s="38">
        <f t="shared" si="1"/>
        <v>6000</v>
      </c>
    </row>
    <row r="36" ht="20.1" customHeight="1" spans="2:8">
      <c r="B36" s="34">
        <v>1.03999996185303</v>
      </c>
      <c r="C36" s="36" t="s">
        <v>28</v>
      </c>
      <c r="D36" s="112" t="s">
        <v>433</v>
      </c>
      <c r="E36" s="457" t="s">
        <v>638</v>
      </c>
      <c r="F36" s="34">
        <v>0.11</v>
      </c>
      <c r="G36" s="114">
        <f>'Basic Rates'!$E$116</f>
        <v>18000</v>
      </c>
      <c r="H36" s="38">
        <f t="shared" si="1"/>
        <v>1980</v>
      </c>
    </row>
    <row r="37" ht="20.1" customHeight="1" spans="2:8">
      <c r="B37" s="34">
        <v>1.04999995231628</v>
      </c>
      <c r="C37" s="36" t="s">
        <v>1082</v>
      </c>
      <c r="D37" s="34" t="s">
        <v>529</v>
      </c>
      <c r="E37" s="457" t="s">
        <v>199</v>
      </c>
      <c r="F37" s="34">
        <v>1</v>
      </c>
      <c r="G37" s="75">
        <f>'Basic Rates'!$E$163</f>
        <v>17.5</v>
      </c>
      <c r="H37" s="38">
        <f t="shared" si="1"/>
        <v>17.5</v>
      </c>
    </row>
    <row r="38" ht="20.1" customHeight="1" spans="2:8">
      <c r="B38" s="34">
        <v>1.05999994277954</v>
      </c>
      <c r="C38" s="36" t="s">
        <v>217</v>
      </c>
      <c r="D38" s="112" t="s">
        <v>218</v>
      </c>
      <c r="E38" s="34" t="s">
        <v>175</v>
      </c>
      <c r="F38" s="34">
        <v>4</v>
      </c>
      <c r="G38" s="114">
        <f>'Basic Rates'!$J$12</f>
        <v>3500</v>
      </c>
      <c r="H38" s="38">
        <f t="shared" si="1"/>
        <v>14000</v>
      </c>
    </row>
    <row r="39" ht="20.1" customHeight="1" spans="2:8">
      <c r="B39" s="34">
        <v>1.07000005245209</v>
      </c>
      <c r="C39" s="36" t="s">
        <v>208</v>
      </c>
      <c r="D39" s="112" t="s">
        <v>209</v>
      </c>
      <c r="E39" s="457" t="s">
        <v>175</v>
      </c>
      <c r="F39" s="34">
        <v>4</v>
      </c>
      <c r="G39" s="114">
        <f>'Basic Rates'!$J$10</f>
        <v>2300</v>
      </c>
      <c r="H39" s="38">
        <f t="shared" si="1"/>
        <v>9200</v>
      </c>
    </row>
    <row r="40" ht="20.1" customHeight="1" spans="2:10">
      <c r="B40" s="34">
        <v>1.08000004291534</v>
      </c>
      <c r="C40" s="36" t="s">
        <v>208</v>
      </c>
      <c r="D40" s="112" t="s">
        <v>209</v>
      </c>
      <c r="E40" s="457" t="s">
        <v>175</v>
      </c>
      <c r="F40" s="34">
        <v>0.25</v>
      </c>
      <c r="G40" s="114">
        <f>'Basic Rates'!$J$10</f>
        <v>2300</v>
      </c>
      <c r="H40" s="38">
        <f t="shared" si="1"/>
        <v>575</v>
      </c>
      <c r="I40" s="145"/>
      <c r="J40" s="145"/>
    </row>
    <row r="41" ht="20.1" customHeight="1" spans="2:8">
      <c r="B41" s="61"/>
      <c r="C41" s="61"/>
      <c r="D41" s="39" t="s">
        <v>579</v>
      </c>
      <c r="E41" s="40">
        <f>$F$31</f>
        <v>1</v>
      </c>
      <c r="F41" s="40" t="str">
        <f>$G$31</f>
        <v>Sqr</v>
      </c>
      <c r="G41" s="41"/>
      <c r="H41" s="38">
        <f>SUM(H33:H40)</f>
        <v>48272.5</v>
      </c>
    </row>
    <row r="42" ht="20.1" customHeight="1" spans="2:8">
      <c r="B42" s="61"/>
      <c r="C42" s="61"/>
      <c r="D42" s="39" t="s">
        <v>580</v>
      </c>
      <c r="E42" s="40" t="str">
        <f>$G$31</f>
        <v>Sqr</v>
      </c>
      <c r="F42" s="40"/>
      <c r="G42" s="41"/>
      <c r="H42" s="38">
        <f>H41/F31</f>
        <v>48272.5</v>
      </c>
    </row>
    <row r="43" ht="20.1" customHeight="1" spans="1:8">
      <c r="A43" s="42"/>
      <c r="B43" s="43"/>
      <c r="C43" s="43"/>
      <c r="D43" s="44" t="s">
        <v>581</v>
      </c>
      <c r="E43" s="45"/>
      <c r="F43" s="45"/>
      <c r="G43" s="46" t="s">
        <v>784</v>
      </c>
      <c r="H43" s="47">
        <f>ROUND(H42,0)</f>
        <v>48273</v>
      </c>
    </row>
    <row r="44" ht="20.1" customHeight="1" spans="1:8">
      <c r="A44" s="42"/>
      <c r="B44" s="43"/>
      <c r="C44" s="43"/>
      <c r="D44" s="44" t="s">
        <v>581</v>
      </c>
      <c r="E44" s="45"/>
      <c r="F44" s="45"/>
      <c r="G44" s="46" t="s">
        <v>785</v>
      </c>
      <c r="H44" s="47">
        <f>H43/100</f>
        <v>482.73</v>
      </c>
    </row>
    <row r="45" ht="20.1" customHeight="1" spans="1:8">
      <c r="A45" s="42"/>
      <c r="B45" s="43"/>
      <c r="C45" s="43"/>
      <c r="D45" s="44" t="s">
        <v>581</v>
      </c>
      <c r="E45" s="45"/>
      <c r="F45" s="45"/>
      <c r="G45" s="46" t="s">
        <v>758</v>
      </c>
      <c r="H45" s="47">
        <f>H44*10.76</f>
        <v>5194.1748</v>
      </c>
    </row>
    <row r="46" s="4" customFormat="1" ht="20.1" customHeight="1" spans="1:8">
      <c r="A46" s="42"/>
      <c r="B46" s="42"/>
      <c r="D46" s="48" t="s">
        <v>746</v>
      </c>
      <c r="E46" s="49"/>
      <c r="F46" s="49"/>
      <c r="G46" s="46" t="s">
        <v>758</v>
      </c>
      <c r="H46" s="47">
        <f>H45</f>
        <v>5194.1748</v>
      </c>
    </row>
    <row r="47" s="4" customFormat="1" ht="20.1" customHeight="1" spans="1:8">
      <c r="A47" s="42"/>
      <c r="B47" s="42"/>
      <c r="D47" s="48" t="s">
        <v>747</v>
      </c>
      <c r="E47" s="49"/>
      <c r="F47" s="49"/>
      <c r="G47" s="46" t="s">
        <v>758</v>
      </c>
      <c r="H47" s="47">
        <f>H46*1.1</f>
        <v>5713.59228</v>
      </c>
    </row>
    <row r="48" s="4" customFormat="1" ht="20.1" customHeight="1" spans="1:8">
      <c r="A48" s="42"/>
      <c r="B48" s="42"/>
      <c r="D48" s="48" t="s">
        <v>748</v>
      </c>
      <c r="E48" s="49"/>
      <c r="F48" s="49"/>
      <c r="G48" s="46" t="s">
        <v>758</v>
      </c>
      <c r="H48" s="47">
        <f>H47*1.1</f>
        <v>6284.951508</v>
      </c>
    </row>
    <row r="49" s="4" customFormat="1" ht="20.1" customHeight="1" spans="1:8">
      <c r="A49" s="42"/>
      <c r="B49" s="42"/>
      <c r="D49" s="48" t="s">
        <v>749</v>
      </c>
      <c r="E49" s="49"/>
      <c r="F49" s="49"/>
      <c r="G49" s="46" t="s">
        <v>758</v>
      </c>
      <c r="H49" s="47">
        <f>H48*1.1</f>
        <v>6913.4466588</v>
      </c>
    </row>
    <row r="50" s="1" customFormat="1" ht="20.1" customHeight="1" spans="1:8">
      <c r="A50" s="62"/>
      <c r="B50" s="63"/>
      <c r="C50" s="63"/>
      <c r="D50" s="64"/>
      <c r="E50" s="65"/>
      <c r="F50" s="65"/>
      <c r="G50" s="66"/>
      <c r="H50" s="67"/>
    </row>
    <row r="51" s="1" customFormat="1" ht="20.25" customHeight="1" spans="1:9">
      <c r="A51" s="59" t="s">
        <v>1078</v>
      </c>
      <c r="B51" s="22"/>
      <c r="C51" s="22"/>
      <c r="D51" s="22"/>
      <c r="E51" s="22"/>
      <c r="F51" s="22"/>
      <c r="G51" s="22"/>
      <c r="H51" s="60"/>
      <c r="I51" s="56"/>
    </row>
    <row r="52" s="1" customFormat="1" ht="9" customHeight="1" spans="2:8">
      <c r="B52" s="25"/>
      <c r="C52" s="26"/>
      <c r="D52" s="26"/>
      <c r="E52" s="26"/>
      <c r="F52" s="26"/>
      <c r="G52" s="27"/>
      <c r="H52" s="28"/>
    </row>
    <row r="53" s="142" customFormat="1" ht="17.25" customHeight="1" spans="1:181">
      <c r="A53" s="29" t="s">
        <v>1085</v>
      </c>
      <c r="B53" s="29"/>
      <c r="C53" s="30" t="s">
        <v>1086</v>
      </c>
      <c r="D53" s="30"/>
      <c r="E53" s="30"/>
      <c r="F53" s="30"/>
      <c r="G53" s="30"/>
      <c r="H53" s="3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</row>
    <row r="54" ht="14.25" customHeight="1" spans="1:8">
      <c r="A54" s="3"/>
      <c r="B54" s="3"/>
      <c r="C54" s="3"/>
      <c r="D54" s="31"/>
      <c r="E54" s="32" t="s">
        <v>570</v>
      </c>
      <c r="F54" s="31">
        <v>1</v>
      </c>
      <c r="G54" s="32" t="s">
        <v>571</v>
      </c>
      <c r="H54" s="33"/>
    </row>
    <row r="55" ht="14.25" customHeight="1" spans="2:8">
      <c r="B55" s="34" t="s">
        <v>194</v>
      </c>
      <c r="C55" s="34" t="s">
        <v>573</v>
      </c>
      <c r="D55" s="34" t="s">
        <v>574</v>
      </c>
      <c r="E55" s="34" t="s">
        <v>6</v>
      </c>
      <c r="F55" s="34" t="s">
        <v>575</v>
      </c>
      <c r="G55" s="34" t="s">
        <v>576</v>
      </c>
      <c r="H55" s="35" t="s">
        <v>577</v>
      </c>
    </row>
    <row r="56" ht="20.1" customHeight="1" spans="2:8">
      <c r="B56" s="34">
        <v>1.00999999046326</v>
      </c>
      <c r="C56" s="36" t="s">
        <v>1087</v>
      </c>
      <c r="D56" s="34" t="s">
        <v>472</v>
      </c>
      <c r="E56" s="457" t="s">
        <v>194</v>
      </c>
      <c r="F56" s="34">
        <v>100</v>
      </c>
      <c r="G56" s="75">
        <f>'Basic Rates'!E135</f>
        <v>150</v>
      </c>
      <c r="H56" s="38">
        <f>G56*F56</f>
        <v>15000</v>
      </c>
    </row>
    <row r="57" s="4" customFormat="1" ht="20.1" customHeight="1" spans="1:11">
      <c r="A57" s="6"/>
      <c r="B57" s="34">
        <v>1.01999998092651</v>
      </c>
      <c r="C57" s="36" t="s">
        <v>715</v>
      </c>
      <c r="D57" s="457" t="s">
        <v>676</v>
      </c>
      <c r="E57" s="457" t="s">
        <v>676</v>
      </c>
      <c r="F57" s="457" t="s">
        <v>676</v>
      </c>
      <c r="G57" s="457" t="s">
        <v>676</v>
      </c>
      <c r="H57" s="38">
        <f>(H56)*5/100</f>
        <v>750</v>
      </c>
      <c r="K57" s="58"/>
    </row>
    <row r="58" s="4" customFormat="1" ht="20.1" customHeight="1" spans="1:11">
      <c r="A58" s="6"/>
      <c r="B58" s="34">
        <v>1.02999997138977</v>
      </c>
      <c r="C58" s="36" t="s">
        <v>24</v>
      </c>
      <c r="D58" s="112" t="s">
        <v>253</v>
      </c>
      <c r="E58" s="34" t="s">
        <v>254</v>
      </c>
      <c r="F58" s="34">
        <v>1.25</v>
      </c>
      <c r="G58" s="114">
        <f>'Basic Rates'!$E$29</f>
        <v>2400</v>
      </c>
      <c r="H58" s="38">
        <f>G58*F58</f>
        <v>3000</v>
      </c>
      <c r="K58" s="58"/>
    </row>
    <row r="59" s="4" customFormat="1" ht="20.1" customHeight="1" spans="1:8">
      <c r="A59" s="6"/>
      <c r="B59" s="34">
        <v>1.03999996185303</v>
      </c>
      <c r="C59" s="36" t="s">
        <v>28</v>
      </c>
      <c r="D59" s="112" t="s">
        <v>433</v>
      </c>
      <c r="E59" s="457" t="s">
        <v>638</v>
      </c>
      <c r="F59" s="34">
        <v>0.07</v>
      </c>
      <c r="G59" s="114">
        <f>'Basic Rates'!$E$116</f>
        <v>18000</v>
      </c>
      <c r="H59" s="38">
        <f t="shared" ref="H59:H65" si="2">G59*F59</f>
        <v>1260</v>
      </c>
    </row>
    <row r="60" ht="20.1" customHeight="1" spans="2:8">
      <c r="B60" s="34">
        <v>1.04999995231628</v>
      </c>
      <c r="C60" s="36" t="s">
        <v>271</v>
      </c>
      <c r="D60" s="34" t="s">
        <v>272</v>
      </c>
      <c r="E60" s="457" t="s">
        <v>199</v>
      </c>
      <c r="F60" s="34">
        <v>2</v>
      </c>
      <c r="G60" s="75">
        <f>'Basic Rates'!E38</f>
        <v>175</v>
      </c>
      <c r="H60" s="38">
        <f t="shared" si="2"/>
        <v>350</v>
      </c>
    </row>
    <row r="61" ht="20.1" customHeight="1" spans="2:8">
      <c r="B61" s="34">
        <v>1.05999994277954</v>
      </c>
      <c r="C61" s="36" t="s">
        <v>526</v>
      </c>
      <c r="D61" s="34" t="s">
        <v>527</v>
      </c>
      <c r="E61" s="34" t="s">
        <v>199</v>
      </c>
      <c r="F61" s="34">
        <v>0.5</v>
      </c>
      <c r="G61" s="75">
        <f>'Basic Rates'!E162</f>
        <v>150</v>
      </c>
      <c r="H61" s="38">
        <f t="shared" si="2"/>
        <v>75</v>
      </c>
    </row>
    <row r="62" s="2" customFormat="1" ht="20.1" customHeight="1" spans="1:9">
      <c r="A62" s="6"/>
      <c r="B62" s="34">
        <v>1.07000005245209</v>
      </c>
      <c r="C62" s="36" t="s">
        <v>275</v>
      </c>
      <c r="D62" s="34" t="s">
        <v>276</v>
      </c>
      <c r="E62" s="457" t="s">
        <v>199</v>
      </c>
      <c r="F62" s="34">
        <v>2</v>
      </c>
      <c r="G62" s="75">
        <f>'Basic Rates'!$E$40</f>
        <v>12.5</v>
      </c>
      <c r="H62" s="38">
        <f t="shared" si="2"/>
        <v>25</v>
      </c>
      <c r="I62" s="57"/>
    </row>
    <row r="63" s="3" customFormat="1" ht="20.1" customHeight="1" spans="1:8">
      <c r="A63" s="6"/>
      <c r="B63" s="34">
        <v>1.08000004291534</v>
      </c>
      <c r="C63" s="36" t="s">
        <v>217</v>
      </c>
      <c r="D63" s="112" t="s">
        <v>218</v>
      </c>
      <c r="E63" s="457" t="s">
        <v>175</v>
      </c>
      <c r="F63" s="34">
        <v>4</v>
      </c>
      <c r="G63" s="114">
        <f>'Basic Rates'!$J$12</f>
        <v>3500</v>
      </c>
      <c r="H63" s="38">
        <f t="shared" si="2"/>
        <v>14000</v>
      </c>
    </row>
    <row r="64" ht="20.1" customHeight="1" spans="2:8">
      <c r="B64" s="34">
        <v>1.0900000333786</v>
      </c>
      <c r="C64" s="36" t="s">
        <v>208</v>
      </c>
      <c r="D64" s="112" t="s">
        <v>209</v>
      </c>
      <c r="E64" s="457" t="s">
        <v>175</v>
      </c>
      <c r="F64" s="34">
        <v>3</v>
      </c>
      <c r="G64" s="114">
        <f>'Basic Rates'!$J$10</f>
        <v>2300</v>
      </c>
      <c r="H64" s="38">
        <f t="shared" si="2"/>
        <v>6900</v>
      </c>
    </row>
    <row r="65" ht="20.1" customHeight="1" spans="2:8">
      <c r="B65" s="68">
        <v>1.10000002384186</v>
      </c>
      <c r="C65" s="36" t="s">
        <v>208</v>
      </c>
      <c r="D65" s="112" t="s">
        <v>209</v>
      </c>
      <c r="E65" s="457" t="s">
        <v>175</v>
      </c>
      <c r="F65" s="34">
        <v>0.5</v>
      </c>
      <c r="G65" s="114">
        <f>'Basic Rates'!$J$10</f>
        <v>2300</v>
      </c>
      <c r="H65" s="38">
        <f t="shared" si="2"/>
        <v>1150</v>
      </c>
    </row>
    <row r="66" ht="20.45" customHeight="1" spans="2:8">
      <c r="B66" s="61"/>
      <c r="C66" s="61"/>
      <c r="D66" s="39" t="s">
        <v>579</v>
      </c>
      <c r="E66" s="40">
        <f>$F$54</f>
        <v>1</v>
      </c>
      <c r="F66" s="40" t="str">
        <f>$G$54</f>
        <v>Sqr</v>
      </c>
      <c r="G66" s="41"/>
      <c r="H66" s="38">
        <f>SUM(H56:H65)</f>
        <v>42510</v>
      </c>
    </row>
    <row r="67" ht="20.45" customHeight="1" spans="2:8">
      <c r="B67" s="61"/>
      <c r="C67" s="61"/>
      <c r="D67" s="39" t="s">
        <v>580</v>
      </c>
      <c r="E67" s="40" t="str">
        <f>$G$54</f>
        <v>Sqr</v>
      </c>
      <c r="F67" s="40"/>
      <c r="G67" s="41"/>
      <c r="H67" s="38">
        <f>H66/F54</f>
        <v>42510</v>
      </c>
    </row>
    <row r="68" ht="20.45" customHeight="1" spans="1:8">
      <c r="A68" s="42"/>
      <c r="B68" s="43"/>
      <c r="C68" s="43"/>
      <c r="D68" s="44" t="s">
        <v>581</v>
      </c>
      <c r="E68" s="45"/>
      <c r="F68" s="45"/>
      <c r="G68" s="46" t="s">
        <v>784</v>
      </c>
      <c r="H68" s="47">
        <f>ROUND(H67,0)</f>
        <v>42510</v>
      </c>
    </row>
    <row r="69" ht="20.45" customHeight="1" spans="4:8">
      <c r="D69" s="44" t="s">
        <v>581</v>
      </c>
      <c r="E69" s="45"/>
      <c r="F69" s="45"/>
      <c r="G69" s="46" t="s">
        <v>785</v>
      </c>
      <c r="H69" s="47">
        <f>H68/100</f>
        <v>425.1</v>
      </c>
    </row>
    <row r="70" ht="20.45" customHeight="1" spans="4:8">
      <c r="D70" s="44" t="s">
        <v>581</v>
      </c>
      <c r="E70" s="45"/>
      <c r="F70" s="45"/>
      <c r="G70" s="46" t="s">
        <v>758</v>
      </c>
      <c r="H70" s="47">
        <f>H69*10.76</f>
        <v>4574.076</v>
      </c>
    </row>
    <row r="71" s="4" customFormat="1" ht="20.1" customHeight="1" spans="1:8">
      <c r="A71" s="42"/>
      <c r="B71" s="42"/>
      <c r="D71" s="48" t="s">
        <v>746</v>
      </c>
      <c r="E71" s="49"/>
      <c r="F71" s="49"/>
      <c r="G71" s="46" t="s">
        <v>758</v>
      </c>
      <c r="H71" s="47">
        <f>H70</f>
        <v>4574.076</v>
      </c>
    </row>
    <row r="72" s="4" customFormat="1" ht="20.1" customHeight="1" spans="1:8">
      <c r="A72" s="42"/>
      <c r="B72" s="42"/>
      <c r="D72" s="48" t="s">
        <v>747</v>
      </c>
      <c r="E72" s="49"/>
      <c r="F72" s="49"/>
      <c r="G72" s="46" t="s">
        <v>758</v>
      </c>
      <c r="H72" s="47">
        <f>H71*1.1</f>
        <v>5031.4836</v>
      </c>
    </row>
    <row r="73" s="4" customFormat="1" ht="20.1" customHeight="1" spans="1:8">
      <c r="A73" s="42"/>
      <c r="B73" s="42"/>
      <c r="D73" s="48" t="s">
        <v>748</v>
      </c>
      <c r="E73" s="49"/>
      <c r="F73" s="49"/>
      <c r="G73" s="46" t="s">
        <v>758</v>
      </c>
      <c r="H73" s="47">
        <f>H72*1.1</f>
        <v>5534.63196</v>
      </c>
    </row>
    <row r="74" s="4" customFormat="1" ht="20.1" customHeight="1" spans="1:8">
      <c r="A74" s="42"/>
      <c r="B74" s="42"/>
      <c r="D74" s="48" t="s">
        <v>749</v>
      </c>
      <c r="E74" s="49"/>
      <c r="F74" s="49"/>
      <c r="G74" s="46" t="s">
        <v>758</v>
      </c>
      <c r="H74" s="47">
        <f>H73*1.1</f>
        <v>6088.095156</v>
      </c>
    </row>
    <row r="75" s="1" customFormat="1" ht="20.1" customHeight="1" spans="2:8">
      <c r="B75" s="25"/>
      <c r="C75" s="26"/>
      <c r="D75" s="26"/>
      <c r="E75" s="26"/>
      <c r="F75" s="26"/>
      <c r="G75" s="27"/>
      <c r="H75" s="28"/>
    </row>
    <row r="76" s="142" customFormat="1" ht="17.25" customHeight="1" spans="1:181">
      <c r="A76" s="29" t="s">
        <v>1088</v>
      </c>
      <c r="B76" s="29"/>
      <c r="C76" s="30" t="s">
        <v>1089</v>
      </c>
      <c r="D76" s="30"/>
      <c r="E76" s="30"/>
      <c r="F76" s="30"/>
      <c r="G76" s="30"/>
      <c r="H76" s="3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</row>
    <row r="77" ht="14.25" customHeight="1" spans="1:8">
      <c r="A77" s="3"/>
      <c r="B77" s="3"/>
      <c r="C77" s="3"/>
      <c r="D77" s="31"/>
      <c r="E77" s="32" t="s">
        <v>570</v>
      </c>
      <c r="F77" s="31">
        <v>1</v>
      </c>
      <c r="G77" s="32" t="s">
        <v>571</v>
      </c>
      <c r="H77" s="33"/>
    </row>
    <row r="78" ht="14.25" customHeight="1" spans="2:8">
      <c r="B78" s="34" t="s">
        <v>194</v>
      </c>
      <c r="C78" s="34" t="s">
        <v>573</v>
      </c>
      <c r="D78" s="34" t="s">
        <v>574</v>
      </c>
      <c r="E78" s="34" t="s">
        <v>6</v>
      </c>
      <c r="F78" s="34" t="s">
        <v>575</v>
      </c>
      <c r="G78" s="34" t="s">
        <v>576</v>
      </c>
      <c r="H78" s="35" t="s">
        <v>577</v>
      </c>
    </row>
    <row r="79" ht="20.1" customHeight="1" spans="2:8">
      <c r="B79" s="34">
        <v>1.01</v>
      </c>
      <c r="C79" s="36" t="s">
        <v>1090</v>
      </c>
      <c r="D79" s="34" t="s">
        <v>468</v>
      </c>
      <c r="E79" s="457" t="s">
        <v>194</v>
      </c>
      <c r="F79" s="34">
        <v>225</v>
      </c>
      <c r="G79" s="75">
        <f>'Basic Rates'!E133</f>
        <v>125</v>
      </c>
      <c r="H79" s="38">
        <f>G79*F79</f>
        <v>28125</v>
      </c>
    </row>
    <row r="80" ht="20.1" customHeight="1" spans="2:8">
      <c r="B80" s="34">
        <f>B79+0.01</f>
        <v>1.02</v>
      </c>
      <c r="C80" s="36" t="s">
        <v>715</v>
      </c>
      <c r="D80" s="457" t="s">
        <v>676</v>
      </c>
      <c r="E80" s="457" t="s">
        <v>676</v>
      </c>
      <c r="F80" s="457" t="s">
        <v>676</v>
      </c>
      <c r="G80" s="457" t="s">
        <v>676</v>
      </c>
      <c r="H80" s="38">
        <f>(H79)*5/100</f>
        <v>1406.25</v>
      </c>
    </row>
    <row r="81" ht="20.1" customHeight="1" spans="2:8">
      <c r="B81" s="34">
        <f t="shared" ref="B81:B87" si="3">B80+0.01</f>
        <v>1.03</v>
      </c>
      <c r="C81" s="36" t="s">
        <v>24</v>
      </c>
      <c r="D81" s="112" t="s">
        <v>253</v>
      </c>
      <c r="E81" s="34" t="s">
        <v>254</v>
      </c>
      <c r="F81" s="34">
        <v>1.25</v>
      </c>
      <c r="G81" s="114">
        <f>'Basic Rates'!$E$29</f>
        <v>2400</v>
      </c>
      <c r="H81" s="38">
        <f>G81*F81</f>
        <v>3000</v>
      </c>
    </row>
    <row r="82" ht="20.1" customHeight="1" spans="2:8">
      <c r="B82" s="34">
        <f t="shared" si="3"/>
        <v>1.04</v>
      </c>
      <c r="C82" s="36" t="s">
        <v>28</v>
      </c>
      <c r="D82" s="112" t="s">
        <v>433</v>
      </c>
      <c r="E82" s="457" t="s">
        <v>638</v>
      </c>
      <c r="F82" s="34">
        <v>0.07</v>
      </c>
      <c r="G82" s="114">
        <f>'Basic Rates'!$E$116</f>
        <v>18000</v>
      </c>
      <c r="H82" s="38">
        <f t="shared" ref="H82:H87" si="4">G82*F82</f>
        <v>1260</v>
      </c>
    </row>
    <row r="83" ht="20.1" customHeight="1" spans="2:8">
      <c r="B83" s="34">
        <f t="shared" si="3"/>
        <v>1.05</v>
      </c>
      <c r="C83" s="36" t="s">
        <v>273</v>
      </c>
      <c r="D83" s="34" t="s">
        <v>274</v>
      </c>
      <c r="E83" s="457" t="s">
        <v>199</v>
      </c>
      <c r="F83" s="34">
        <v>0.25</v>
      </c>
      <c r="G83" s="75">
        <f>'Basic Rates'!E39</f>
        <v>175</v>
      </c>
      <c r="H83" s="38">
        <f t="shared" si="4"/>
        <v>43.75</v>
      </c>
    </row>
    <row r="84" ht="20.1" customHeight="1" spans="2:8">
      <c r="B84" s="34">
        <f t="shared" si="3"/>
        <v>1.06</v>
      </c>
      <c r="C84" s="36" t="s">
        <v>275</v>
      </c>
      <c r="D84" s="34" t="s">
        <v>276</v>
      </c>
      <c r="E84" s="34" t="s">
        <v>199</v>
      </c>
      <c r="F84" s="34">
        <v>2</v>
      </c>
      <c r="G84" s="75">
        <f>'Basic Rates'!$E$40</f>
        <v>12.5</v>
      </c>
      <c r="H84" s="38">
        <f t="shared" si="4"/>
        <v>25</v>
      </c>
    </row>
    <row r="85" ht="20.1" customHeight="1" spans="2:8">
      <c r="B85" s="34">
        <f t="shared" si="3"/>
        <v>1.07</v>
      </c>
      <c r="C85" s="36" t="s">
        <v>217</v>
      </c>
      <c r="D85" s="112" t="s">
        <v>218</v>
      </c>
      <c r="E85" s="457" t="s">
        <v>175</v>
      </c>
      <c r="F85" s="34">
        <v>4</v>
      </c>
      <c r="G85" s="114">
        <f>'Basic Rates'!$J$12</f>
        <v>3500</v>
      </c>
      <c r="H85" s="38">
        <f t="shared" si="4"/>
        <v>14000</v>
      </c>
    </row>
    <row r="86" ht="20.1" customHeight="1" spans="2:8">
      <c r="B86" s="34">
        <f t="shared" si="3"/>
        <v>1.08</v>
      </c>
      <c r="C86" s="36" t="s">
        <v>208</v>
      </c>
      <c r="D86" s="112" t="s">
        <v>209</v>
      </c>
      <c r="E86" s="457" t="s">
        <v>175</v>
      </c>
      <c r="F86" s="34">
        <v>4</v>
      </c>
      <c r="G86" s="114">
        <f>'Basic Rates'!$J$10</f>
        <v>2300</v>
      </c>
      <c r="H86" s="38">
        <f t="shared" si="4"/>
        <v>9200</v>
      </c>
    </row>
    <row r="87" ht="20.1" customHeight="1" spans="2:8">
      <c r="B87" s="34">
        <f t="shared" si="3"/>
        <v>1.09</v>
      </c>
      <c r="C87" s="36" t="s">
        <v>208</v>
      </c>
      <c r="D87" s="112" t="s">
        <v>209</v>
      </c>
      <c r="E87" s="34" t="s">
        <v>175</v>
      </c>
      <c r="F87" s="34">
        <v>0.5</v>
      </c>
      <c r="G87" s="114">
        <f>'Basic Rates'!$J$10</f>
        <v>2300</v>
      </c>
      <c r="H87" s="38">
        <f t="shared" si="4"/>
        <v>1150</v>
      </c>
    </row>
    <row r="88" ht="20.1" customHeight="1" spans="2:8">
      <c r="B88" s="61"/>
      <c r="C88" s="61"/>
      <c r="D88" s="39" t="s">
        <v>579</v>
      </c>
      <c r="E88" s="40">
        <f>$F$77</f>
        <v>1</v>
      </c>
      <c r="F88" s="40" t="str">
        <f>$G$77</f>
        <v>Sqr</v>
      </c>
      <c r="G88" s="41"/>
      <c r="H88" s="38">
        <f>SUM(H79:H87)</f>
        <v>58210</v>
      </c>
    </row>
    <row r="89" s="4" customFormat="1" ht="20.1" customHeight="1" spans="1:11">
      <c r="A89" s="6"/>
      <c r="B89" s="61"/>
      <c r="C89" s="61"/>
      <c r="D89" s="39" t="s">
        <v>580</v>
      </c>
      <c r="E89" s="40" t="str">
        <f>$G$77</f>
        <v>Sqr</v>
      </c>
      <c r="F89" s="40"/>
      <c r="G89" s="41"/>
      <c r="H89" s="38">
        <f>H88/F77</f>
        <v>58210</v>
      </c>
      <c r="K89" s="58"/>
    </row>
    <row r="90" spans="1:8">
      <c r="A90" s="42"/>
      <c r="B90" s="43"/>
      <c r="C90" s="43"/>
      <c r="D90" s="44" t="s">
        <v>581</v>
      </c>
      <c r="E90" s="45"/>
      <c r="F90" s="45"/>
      <c r="G90" s="46" t="s">
        <v>784</v>
      </c>
      <c r="H90" s="47">
        <f>ROUND(H89,0)</f>
        <v>58210</v>
      </c>
    </row>
    <row r="91" ht="20.45" customHeight="1" spans="4:8">
      <c r="D91" s="44" t="s">
        <v>581</v>
      </c>
      <c r="E91" s="45"/>
      <c r="F91" s="45"/>
      <c r="G91" s="46" t="s">
        <v>785</v>
      </c>
      <c r="H91" s="47">
        <f>H90/100</f>
        <v>582.1</v>
      </c>
    </row>
    <row r="92" ht="20.45" customHeight="1" spans="4:8">
      <c r="D92" s="44" t="s">
        <v>581</v>
      </c>
      <c r="E92" s="45"/>
      <c r="F92" s="45"/>
      <c r="G92" s="46" t="s">
        <v>758</v>
      </c>
      <c r="H92" s="47">
        <f>H91*10.76</f>
        <v>6263.396</v>
      </c>
    </row>
    <row r="93" s="4" customFormat="1" ht="20.1" customHeight="1" spans="1:8">
      <c r="A93" s="42"/>
      <c r="B93" s="42"/>
      <c r="D93" s="48" t="s">
        <v>746</v>
      </c>
      <c r="E93" s="49"/>
      <c r="F93" s="49"/>
      <c r="G93" s="46" t="s">
        <v>758</v>
      </c>
      <c r="H93" s="47">
        <f>H92</f>
        <v>6263.396</v>
      </c>
    </row>
    <row r="94" s="4" customFormat="1" ht="20.1" customHeight="1" spans="1:8">
      <c r="A94" s="42"/>
      <c r="B94" s="42"/>
      <c r="D94" s="48" t="s">
        <v>747</v>
      </c>
      <c r="E94" s="49"/>
      <c r="F94" s="49"/>
      <c r="G94" s="46" t="s">
        <v>758</v>
      </c>
      <c r="H94" s="47">
        <f>H93*1.1</f>
        <v>6889.7356</v>
      </c>
    </row>
    <row r="95" s="4" customFormat="1" ht="20.1" customHeight="1" spans="1:8">
      <c r="A95" s="42"/>
      <c r="B95" s="42"/>
      <c r="D95" s="48" t="s">
        <v>748</v>
      </c>
      <c r="E95" s="49"/>
      <c r="F95" s="49"/>
      <c r="G95" s="46" t="s">
        <v>758</v>
      </c>
      <c r="H95" s="47">
        <f>H94*1.1</f>
        <v>7578.70916</v>
      </c>
    </row>
    <row r="96" s="4" customFormat="1" ht="20.1" customHeight="1" spans="1:8">
      <c r="A96" s="42"/>
      <c r="B96" s="42"/>
      <c r="D96" s="48" t="s">
        <v>749</v>
      </c>
      <c r="E96" s="49"/>
      <c r="F96" s="49"/>
      <c r="G96" s="46" t="s">
        <v>758</v>
      </c>
      <c r="H96" s="47">
        <f>H95*1.1</f>
        <v>8336.580076</v>
      </c>
    </row>
    <row r="97" spans="1:8">
      <c r="A97" s="4"/>
      <c r="B97" s="4"/>
      <c r="C97" s="4"/>
      <c r="D97" s="146"/>
      <c r="E97" s="147"/>
      <c r="F97" s="147"/>
      <c r="G97" s="148"/>
      <c r="H97" s="149"/>
    </row>
    <row r="98" spans="1:8">
      <c r="A98" s="4"/>
      <c r="B98" s="4"/>
      <c r="C98" s="4"/>
      <c r="D98" s="146"/>
      <c r="E98" s="147"/>
      <c r="F98" s="147"/>
      <c r="G98" s="148"/>
      <c r="H98" s="149"/>
    </row>
    <row r="100" spans="1:8">
      <c r="A100" s="42"/>
      <c r="B100" s="42"/>
      <c r="C100" s="42"/>
      <c r="D100" s="50"/>
      <c r="E100" s="51"/>
      <c r="F100" s="51"/>
      <c r="G100" s="52"/>
      <c r="H100" s="53"/>
    </row>
  </sheetData>
  <mergeCells count="11">
    <mergeCell ref="A2:H2"/>
    <mergeCell ref="A7:H7"/>
    <mergeCell ref="A9:B9"/>
    <mergeCell ref="C9:H9"/>
    <mergeCell ref="A30:B30"/>
    <mergeCell ref="C30:H30"/>
    <mergeCell ref="A51:H51"/>
    <mergeCell ref="A53:B53"/>
    <mergeCell ref="C53:H53"/>
    <mergeCell ref="A76:B76"/>
    <mergeCell ref="C76:H76"/>
  </mergeCells>
  <hyperlinks>
    <hyperlink ref="C4" location="'14'!I15" display="Wall Tilling"/>
    <hyperlink ref="C5" location="'14'!I60" display="Floor Tilling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indexed="61"/>
  </sheetPr>
  <dimension ref="A1:K243"/>
  <sheetViews>
    <sheetView topLeftCell="A100" workbookViewId="0">
      <selection activeCell="H219" sqref="H219"/>
    </sheetView>
  </sheetViews>
  <sheetFormatPr defaultColWidth="9" defaultRowHeight="10.5"/>
  <cols>
    <col min="1" max="1" width="1.71428571428571" style="89" customWidth="1"/>
    <col min="2" max="2" width="5.71428571428571" style="89" customWidth="1"/>
    <col min="3" max="3" width="34.7142857142857" style="89" customWidth="1"/>
    <col min="4" max="4" width="7.57142857142857" style="90" customWidth="1"/>
    <col min="5" max="5" width="7.42857142857143" style="90" customWidth="1"/>
    <col min="6" max="6" width="7.14285714285714" style="90" customWidth="1"/>
    <col min="7" max="7" width="9.14285714285714" style="91"/>
    <col min="8" max="8" width="11.8571428571429" style="92" customWidth="1"/>
    <col min="9" max="16384" width="9.14285714285714" style="89"/>
  </cols>
  <sheetData>
    <row r="1" s="81" customFormat="1" ht="9.75" customHeight="1" spans="1:8">
      <c r="A1" s="93"/>
      <c r="B1" s="93"/>
      <c r="C1" s="93"/>
      <c r="D1" s="94"/>
      <c r="E1" s="95"/>
      <c r="F1" s="95"/>
      <c r="G1" s="96"/>
      <c r="H1" s="97"/>
    </row>
    <row r="2" s="6" customFormat="1" ht="20.1" customHeight="1" spans="1:9">
      <c r="A2" s="98" t="s">
        <v>1091</v>
      </c>
      <c r="B2" s="98"/>
      <c r="C2" s="98"/>
      <c r="D2" s="98"/>
      <c r="E2" s="98"/>
      <c r="F2" s="98"/>
      <c r="G2" s="98"/>
      <c r="H2" s="98"/>
      <c r="I2" s="54"/>
    </row>
    <row r="3" s="1" customFormat="1" ht="9" customHeight="1" spans="1:9">
      <c r="A3" s="11"/>
      <c r="B3" s="12"/>
      <c r="C3" s="13"/>
      <c r="D3" s="14"/>
      <c r="E3" s="14"/>
      <c r="F3" s="14"/>
      <c r="G3" s="15"/>
      <c r="H3" s="16"/>
      <c r="I3" s="55"/>
    </row>
    <row r="4" s="1" customFormat="1" ht="20.1" customHeight="1" spans="1:9">
      <c r="A4" s="11"/>
      <c r="B4" s="17" t="s">
        <v>564</v>
      </c>
      <c r="C4" s="18" t="s">
        <v>1092</v>
      </c>
      <c r="D4" s="14"/>
      <c r="E4" s="14"/>
      <c r="F4" s="14"/>
      <c r="G4" s="15"/>
      <c r="H4" s="16"/>
      <c r="I4" s="55"/>
    </row>
    <row r="5" s="1" customFormat="1" ht="20.1" customHeight="1" spans="1:9">
      <c r="A5" s="11"/>
      <c r="B5" s="17" t="s">
        <v>566</v>
      </c>
      <c r="C5" s="18" t="s">
        <v>1093</v>
      </c>
      <c r="D5" s="14"/>
      <c r="E5" s="14"/>
      <c r="F5" s="14"/>
      <c r="G5" s="15"/>
      <c r="H5" s="16"/>
      <c r="I5" s="55"/>
    </row>
    <row r="6" s="1" customFormat="1" ht="20.1" customHeight="1" spans="1:9">
      <c r="A6" s="11"/>
      <c r="B6" s="17" t="s">
        <v>680</v>
      </c>
      <c r="C6" s="18" t="s">
        <v>1094</v>
      </c>
      <c r="D6" s="14"/>
      <c r="E6" s="14"/>
      <c r="F6" s="14"/>
      <c r="G6" s="15"/>
      <c r="H6" s="16"/>
      <c r="I6" s="55"/>
    </row>
    <row r="7" s="1" customFormat="1" ht="20.1" customHeight="1" spans="1:9">
      <c r="A7" s="11"/>
      <c r="B7" s="17" t="s">
        <v>682</v>
      </c>
      <c r="C7" s="18" t="s">
        <v>1095</v>
      </c>
      <c r="D7" s="14"/>
      <c r="E7" s="14"/>
      <c r="F7" s="14"/>
      <c r="G7" s="15"/>
      <c r="H7" s="16"/>
      <c r="I7" s="55"/>
    </row>
    <row r="8" s="6" customFormat="1" ht="9" customHeight="1" spans="1:8">
      <c r="A8" s="11"/>
      <c r="B8" s="11"/>
      <c r="C8" s="11"/>
      <c r="D8" s="99"/>
      <c r="E8" s="99"/>
      <c r="F8" s="99"/>
      <c r="G8" s="15"/>
      <c r="H8" s="16"/>
    </row>
    <row r="10" s="82" customFormat="1" ht="20.1" customHeight="1" spans="1:11">
      <c r="A10" s="88"/>
      <c r="B10" s="100"/>
      <c r="C10" s="100"/>
      <c r="D10" s="101"/>
      <c r="E10" s="102"/>
      <c r="F10" s="102"/>
      <c r="G10" s="103"/>
      <c r="H10" s="104"/>
      <c r="K10" s="127"/>
    </row>
    <row r="11" s="1" customFormat="1" ht="20.25" customHeight="1" spans="1:9">
      <c r="A11" s="19"/>
      <c r="B11" s="20"/>
      <c r="C11" s="21"/>
      <c r="D11" s="22" t="s">
        <v>1092</v>
      </c>
      <c r="E11" s="21"/>
      <c r="F11" s="21"/>
      <c r="G11" s="23"/>
      <c r="H11" s="24"/>
      <c r="I11" s="56"/>
    </row>
    <row r="12" s="6" customFormat="1" ht="9" customHeight="1" spans="4:8">
      <c r="D12" s="7"/>
      <c r="E12" s="7"/>
      <c r="F12" s="7"/>
      <c r="G12" s="8"/>
      <c r="H12" s="9"/>
    </row>
    <row r="13" s="83" customFormat="1" ht="21" customHeight="1" spans="1:9">
      <c r="A13" s="105" t="s">
        <v>1096</v>
      </c>
      <c r="B13" s="105"/>
      <c r="C13" s="106" t="s">
        <v>1097</v>
      </c>
      <c r="D13" s="106"/>
      <c r="E13" s="106"/>
      <c r="F13" s="106"/>
      <c r="G13" s="106"/>
      <c r="H13" s="106"/>
      <c r="I13" s="128"/>
    </row>
    <row r="14" s="84" customFormat="1" ht="13.5" customHeight="1" spans="4:8">
      <c r="D14" s="107"/>
      <c r="E14" s="108" t="s">
        <v>570</v>
      </c>
      <c r="F14" s="107">
        <v>1</v>
      </c>
      <c r="G14" s="108" t="s">
        <v>571</v>
      </c>
      <c r="H14" s="109"/>
    </row>
    <row r="15" s="84" customFormat="1" ht="18" customHeight="1" spans="1:8">
      <c r="A15" s="85"/>
      <c r="B15" s="110" t="s">
        <v>194</v>
      </c>
      <c r="C15" s="110" t="s">
        <v>573</v>
      </c>
      <c r="D15" s="110" t="s">
        <v>574</v>
      </c>
      <c r="E15" s="110" t="s">
        <v>6</v>
      </c>
      <c r="F15" s="110" t="s">
        <v>575</v>
      </c>
      <c r="G15" s="110" t="s">
        <v>576</v>
      </c>
      <c r="H15" s="111" t="s">
        <v>577</v>
      </c>
    </row>
    <row r="16" s="85" customFormat="1" ht="20.1" customHeight="1" spans="1:8">
      <c r="A16" s="89"/>
      <c r="B16" s="112">
        <v>1.00999999046326</v>
      </c>
      <c r="C16" s="113" t="s">
        <v>24</v>
      </c>
      <c r="D16" s="112" t="s">
        <v>253</v>
      </c>
      <c r="E16" s="455" t="s">
        <v>254</v>
      </c>
      <c r="F16" s="112">
        <v>1.4</v>
      </c>
      <c r="G16" s="114">
        <f>'Basic Rates'!$E$29</f>
        <v>2400</v>
      </c>
      <c r="H16" s="115">
        <f>F16*G16</f>
        <v>3360</v>
      </c>
    </row>
    <row r="17" ht="20.1" customHeight="1" spans="2:8">
      <c r="B17" s="112">
        <v>1.01999998092651</v>
      </c>
      <c r="C17" s="113" t="s">
        <v>28</v>
      </c>
      <c r="D17" s="112" t="s">
        <v>433</v>
      </c>
      <c r="E17" s="455" t="s">
        <v>638</v>
      </c>
      <c r="F17" s="112">
        <v>0.06</v>
      </c>
      <c r="G17" s="114">
        <f>'Basic Rates'!$E$116</f>
        <v>18000</v>
      </c>
      <c r="H17" s="115">
        <f>F17*G17</f>
        <v>1080</v>
      </c>
    </row>
    <row r="18" ht="20.1" customHeight="1" spans="2:8">
      <c r="B18" s="112">
        <v>1.02999997138977</v>
      </c>
      <c r="C18" s="113" t="s">
        <v>36</v>
      </c>
      <c r="D18" s="112" t="s">
        <v>525</v>
      </c>
      <c r="E18" s="112" t="s">
        <v>173</v>
      </c>
      <c r="F18" s="112">
        <v>10</v>
      </c>
      <c r="G18" s="114">
        <f>'Basic Rates'!$E$161</f>
        <v>0.3</v>
      </c>
      <c r="H18" s="115">
        <f>F18*G18</f>
        <v>3</v>
      </c>
    </row>
    <row r="19" ht="20.1" customHeight="1" spans="2:8">
      <c r="B19" s="112">
        <v>1.03999996185303</v>
      </c>
      <c r="C19" s="113" t="s">
        <v>217</v>
      </c>
      <c r="D19" s="112" t="s">
        <v>218</v>
      </c>
      <c r="E19" s="112" t="s">
        <v>175</v>
      </c>
      <c r="F19" s="112">
        <v>1</v>
      </c>
      <c r="G19" s="114">
        <f>'Basic Rates'!$J$12</f>
        <v>3500</v>
      </c>
      <c r="H19" s="115">
        <f>F19*G19</f>
        <v>3500</v>
      </c>
    </row>
    <row r="20" ht="20.1" customHeight="1" spans="2:8">
      <c r="B20" s="112">
        <v>1.04999995231628</v>
      </c>
      <c r="C20" s="113" t="s">
        <v>208</v>
      </c>
      <c r="D20" s="112" t="s">
        <v>209</v>
      </c>
      <c r="E20" s="455" t="s">
        <v>175</v>
      </c>
      <c r="F20" s="112">
        <v>1.5</v>
      </c>
      <c r="G20" s="114">
        <f>'Basic Rates'!$J$10</f>
        <v>2300</v>
      </c>
      <c r="H20" s="115">
        <f>F20*G20</f>
        <v>3450</v>
      </c>
    </row>
    <row r="21" ht="20.1" customHeight="1" spans="2:8">
      <c r="B21" s="112">
        <v>1.05999994277954</v>
      </c>
      <c r="C21" s="113" t="s">
        <v>1098</v>
      </c>
      <c r="D21" s="455" t="s">
        <v>676</v>
      </c>
      <c r="E21" s="455" t="s">
        <v>676</v>
      </c>
      <c r="F21" s="455" t="s">
        <v>676</v>
      </c>
      <c r="G21" s="455" t="s">
        <v>676</v>
      </c>
      <c r="H21" s="115">
        <f>(H19+H20)*3/100</f>
        <v>208.5</v>
      </c>
    </row>
    <row r="22" ht="20.1" customHeight="1" spans="4:8">
      <c r="D22" s="116" t="s">
        <v>579</v>
      </c>
      <c r="E22" s="117">
        <f>F14</f>
        <v>1</v>
      </c>
      <c r="F22" s="117" t="str">
        <f>$G$14</f>
        <v>Sqr</v>
      </c>
      <c r="G22" s="118"/>
      <c r="H22" s="115">
        <f>SUM(H16:H21)</f>
        <v>11601.5</v>
      </c>
    </row>
    <row r="23" ht="20.1" customHeight="1" spans="4:8">
      <c r="D23" s="116" t="s">
        <v>580</v>
      </c>
      <c r="E23" s="117" t="str">
        <f>$G$14</f>
        <v>Sqr</v>
      </c>
      <c r="F23" s="117"/>
      <c r="G23" s="118"/>
      <c r="H23" s="115">
        <f>H22/E22</f>
        <v>11601.5</v>
      </c>
    </row>
    <row r="24" ht="20.1" customHeight="1" spans="1:8">
      <c r="A24" s="93"/>
      <c r="B24" s="93"/>
      <c r="C24" s="119"/>
      <c r="D24" s="120" t="s">
        <v>581</v>
      </c>
      <c r="E24" s="121"/>
      <c r="F24" s="121"/>
      <c r="G24" s="122" t="s">
        <v>784</v>
      </c>
      <c r="H24" s="123">
        <f>ROUND(H23,0)</f>
        <v>11602</v>
      </c>
    </row>
    <row r="25" s="86" customFormat="1" ht="20.1" customHeight="1" spans="1:8">
      <c r="A25" s="88"/>
      <c r="B25" s="88"/>
      <c r="C25" s="88"/>
      <c r="D25" s="124" t="s">
        <v>581</v>
      </c>
      <c r="E25" s="121"/>
      <c r="F25" s="121"/>
      <c r="G25" s="122" t="s">
        <v>1099</v>
      </c>
      <c r="H25" s="123">
        <f>H24/100</f>
        <v>116.02</v>
      </c>
    </row>
    <row r="26" s="86" customFormat="1" ht="20.1" customHeight="1" spans="1:8">
      <c r="A26" s="88"/>
      <c r="B26" s="88"/>
      <c r="C26" s="88"/>
      <c r="D26" s="124" t="s">
        <v>581</v>
      </c>
      <c r="E26" s="121"/>
      <c r="F26" s="121"/>
      <c r="G26" s="122" t="s">
        <v>1100</v>
      </c>
      <c r="H26" s="123">
        <f>H25*10.76</f>
        <v>1248.3752</v>
      </c>
    </row>
    <row r="27" s="86" customFormat="1" ht="20.45" customHeight="1" spans="1:8">
      <c r="A27" s="88"/>
      <c r="B27" s="88"/>
      <c r="C27" s="88"/>
      <c r="D27" s="101"/>
      <c r="E27" s="102"/>
      <c r="F27" s="102"/>
      <c r="G27" s="103"/>
      <c r="H27" s="104"/>
    </row>
    <row r="28" s="83" customFormat="1" ht="21" customHeight="1" spans="1:9">
      <c r="A28" s="105" t="s">
        <v>1101</v>
      </c>
      <c r="B28" s="105"/>
      <c r="C28" s="106" t="s">
        <v>1102</v>
      </c>
      <c r="D28" s="106"/>
      <c r="E28" s="106"/>
      <c r="F28" s="106"/>
      <c r="G28" s="106"/>
      <c r="H28" s="106"/>
      <c r="I28" s="128"/>
    </row>
    <row r="29" s="84" customFormat="1" ht="13.5" customHeight="1" spans="4:8">
      <c r="D29" s="107"/>
      <c r="E29" s="108" t="s">
        <v>570</v>
      </c>
      <c r="F29" s="107">
        <v>1</v>
      </c>
      <c r="G29" s="108" t="s">
        <v>571</v>
      </c>
      <c r="H29" s="109"/>
    </row>
    <row r="30" s="86" customFormat="1" ht="20.45" customHeight="1" spans="1:8">
      <c r="A30" s="85"/>
      <c r="B30" s="110" t="s">
        <v>194</v>
      </c>
      <c r="C30" s="110" t="s">
        <v>573</v>
      </c>
      <c r="D30" s="110" t="s">
        <v>574</v>
      </c>
      <c r="E30" s="110" t="s">
        <v>6</v>
      </c>
      <c r="F30" s="110" t="s">
        <v>575</v>
      </c>
      <c r="G30" s="110" t="s">
        <v>576</v>
      </c>
      <c r="H30" s="111" t="s">
        <v>577</v>
      </c>
    </row>
    <row r="31" s="86" customFormat="1" ht="20.1" customHeight="1" spans="1:8">
      <c r="A31" s="89"/>
      <c r="B31" s="112">
        <v>1.00999999046326</v>
      </c>
      <c r="C31" s="113" t="s">
        <v>24</v>
      </c>
      <c r="D31" s="112" t="s">
        <v>253</v>
      </c>
      <c r="E31" s="455" t="s">
        <v>254</v>
      </c>
      <c r="F31" s="112">
        <v>0.8</v>
      </c>
      <c r="G31" s="114">
        <f>'Basic Rates'!$E$29</f>
        <v>2400</v>
      </c>
      <c r="H31" s="115">
        <f>G31*F31</f>
        <v>1920</v>
      </c>
    </row>
    <row r="32" s="81" customFormat="1" ht="20.1" customHeight="1" spans="1:8">
      <c r="A32" s="89"/>
      <c r="B32" s="112">
        <v>1.02999997138977</v>
      </c>
      <c r="C32" s="113" t="s">
        <v>28</v>
      </c>
      <c r="D32" s="112" t="s">
        <v>433</v>
      </c>
      <c r="E32" s="112" t="s">
        <v>638</v>
      </c>
      <c r="F32" s="112">
        <v>0.07</v>
      </c>
      <c r="G32" s="114">
        <f>'Basic Rates'!$E$116</f>
        <v>18000</v>
      </c>
      <c r="H32" s="115">
        <f>G32*F32</f>
        <v>1260</v>
      </c>
    </row>
    <row r="33" s="81" customFormat="1" ht="20.1" customHeight="1" spans="1:8">
      <c r="A33" s="89"/>
      <c r="B33" s="112">
        <v>1.03999996185303</v>
      </c>
      <c r="C33" s="113" t="s">
        <v>36</v>
      </c>
      <c r="D33" s="112" t="s">
        <v>525</v>
      </c>
      <c r="E33" s="112" t="s">
        <v>173</v>
      </c>
      <c r="F33" s="112">
        <v>10</v>
      </c>
      <c r="G33" s="114">
        <f>'Basic Rates'!$E$161</f>
        <v>0.3</v>
      </c>
      <c r="H33" s="115">
        <f>G33*F33</f>
        <v>3</v>
      </c>
    </row>
    <row r="34" s="83" customFormat="1" ht="20.1" customHeight="1" spans="1:9">
      <c r="A34" s="89"/>
      <c r="B34" s="112">
        <v>1.04999995231628</v>
      </c>
      <c r="C34" s="113" t="s">
        <v>217</v>
      </c>
      <c r="D34" s="112" t="s">
        <v>218</v>
      </c>
      <c r="E34" s="455" t="s">
        <v>175</v>
      </c>
      <c r="F34" s="112">
        <v>1</v>
      </c>
      <c r="G34" s="114">
        <f>'Basic Rates'!$J$12</f>
        <v>3500</v>
      </c>
      <c r="H34" s="115">
        <f>G34*F34</f>
        <v>3500</v>
      </c>
      <c r="I34" s="128"/>
    </row>
    <row r="35" s="84" customFormat="1" ht="20.1" customHeight="1" spans="1:8">
      <c r="A35" s="89"/>
      <c r="B35" s="112">
        <v>1.05999994277954</v>
      </c>
      <c r="C35" s="113" t="s">
        <v>208</v>
      </c>
      <c r="D35" s="112" t="s">
        <v>209</v>
      </c>
      <c r="E35" s="455" t="s">
        <v>175</v>
      </c>
      <c r="F35" s="112">
        <v>1.25</v>
      </c>
      <c r="G35" s="114">
        <f>'Basic Rates'!$J$10</f>
        <v>2300</v>
      </c>
      <c r="H35" s="115">
        <f>G35*F35</f>
        <v>2875</v>
      </c>
    </row>
    <row r="36" s="85" customFormat="1" ht="20.1" customHeight="1" spans="1:8">
      <c r="A36" s="89"/>
      <c r="B36" s="89"/>
      <c r="C36" s="89"/>
      <c r="D36" s="116" t="s">
        <v>579</v>
      </c>
      <c r="E36" s="117">
        <f>F29</f>
        <v>1</v>
      </c>
      <c r="F36" s="117" t="str">
        <f>$G$14</f>
        <v>Sqr</v>
      </c>
      <c r="G36" s="118"/>
      <c r="H36" s="115">
        <f>SUM(H31:H35)</f>
        <v>9558</v>
      </c>
    </row>
    <row r="37" ht="20.1" customHeight="1" spans="4:8">
      <c r="D37" s="116" t="s">
        <v>580</v>
      </c>
      <c r="E37" s="117" t="str">
        <f>$G$14</f>
        <v>Sqr</v>
      </c>
      <c r="F37" s="117"/>
      <c r="G37" s="118"/>
      <c r="H37" s="115">
        <f>H36/E36</f>
        <v>9558</v>
      </c>
    </row>
    <row r="38" ht="20.1" customHeight="1" spans="1:8">
      <c r="A38" s="93"/>
      <c r="B38" s="125"/>
      <c r="C38" s="125"/>
      <c r="D38" s="124" t="s">
        <v>581</v>
      </c>
      <c r="E38" s="121"/>
      <c r="F38" s="121"/>
      <c r="G38" s="122" t="s">
        <v>784</v>
      </c>
      <c r="H38" s="123">
        <f>ROUND(H37,0)</f>
        <v>9558</v>
      </c>
    </row>
    <row r="39" ht="20.1" customHeight="1" spans="1:8">
      <c r="A39" s="88"/>
      <c r="B39" s="88"/>
      <c r="C39" s="88"/>
      <c r="D39" s="124" t="s">
        <v>581</v>
      </c>
      <c r="E39" s="121"/>
      <c r="F39" s="121"/>
      <c r="G39" s="122" t="s">
        <v>785</v>
      </c>
      <c r="H39" s="123">
        <f>H38/100</f>
        <v>95.58</v>
      </c>
    </row>
    <row r="40" ht="20.1" customHeight="1" spans="1:8">
      <c r="A40" s="88"/>
      <c r="B40" s="88"/>
      <c r="C40" s="88"/>
      <c r="D40" s="124" t="s">
        <v>581</v>
      </c>
      <c r="E40" s="121"/>
      <c r="F40" s="121"/>
      <c r="G40" s="122" t="s">
        <v>758</v>
      </c>
      <c r="H40" s="123">
        <f>H39*10.76</f>
        <v>1028.4408</v>
      </c>
    </row>
    <row r="41" s="4" customFormat="1" ht="20.1" customHeight="1" spans="1:8">
      <c r="A41" s="42"/>
      <c r="B41" s="42"/>
      <c r="D41" s="48" t="s">
        <v>721</v>
      </c>
      <c r="E41" s="49"/>
      <c r="F41" s="49"/>
      <c r="G41" s="122" t="s">
        <v>758</v>
      </c>
      <c r="H41" s="47">
        <f>H40</f>
        <v>1028.4408</v>
      </c>
    </row>
    <row r="42" s="4" customFormat="1" ht="20.1" customHeight="1" spans="1:8">
      <c r="A42" s="42"/>
      <c r="B42" s="42"/>
      <c r="D42" s="48" t="s">
        <v>722</v>
      </c>
      <c r="E42" s="49"/>
      <c r="F42" s="49"/>
      <c r="G42" s="122" t="s">
        <v>758</v>
      </c>
      <c r="H42" s="47">
        <f>H41*1.1</f>
        <v>1131.28488</v>
      </c>
    </row>
    <row r="43" s="4" customFormat="1" ht="20.1" customHeight="1" spans="1:8">
      <c r="A43" s="42"/>
      <c r="B43" s="42"/>
      <c r="D43" s="48" t="s">
        <v>723</v>
      </c>
      <c r="E43" s="49"/>
      <c r="F43" s="49"/>
      <c r="G43" s="122" t="s">
        <v>758</v>
      </c>
      <c r="H43" s="47">
        <f>H42*1.1</f>
        <v>1244.413368</v>
      </c>
    </row>
    <row r="44" s="4" customFormat="1" ht="20.1" customHeight="1" spans="1:8">
      <c r="A44" s="42"/>
      <c r="B44" s="42"/>
      <c r="D44" s="48" t="s">
        <v>724</v>
      </c>
      <c r="E44" s="49"/>
      <c r="F44" s="49"/>
      <c r="G44" s="122" t="s">
        <v>758</v>
      </c>
      <c r="H44" s="47">
        <f>H43*1.1</f>
        <v>1368.8547048</v>
      </c>
    </row>
    <row r="45" s="86" customFormat="1" ht="23.25" customHeight="1" spans="1:8">
      <c r="A45" s="88"/>
      <c r="B45" s="88"/>
      <c r="C45" s="103"/>
      <c r="D45" s="101"/>
      <c r="E45" s="102"/>
      <c r="F45" s="102"/>
      <c r="G45" s="103"/>
      <c r="H45" s="104"/>
    </row>
    <row r="46" s="83" customFormat="1" ht="21" customHeight="1" spans="1:9">
      <c r="A46" s="105" t="s">
        <v>1103</v>
      </c>
      <c r="B46" s="105"/>
      <c r="C46" s="106" t="s">
        <v>1104</v>
      </c>
      <c r="D46" s="106"/>
      <c r="E46" s="106"/>
      <c r="F46" s="106"/>
      <c r="G46" s="106"/>
      <c r="H46" s="106"/>
      <c r="I46" s="128"/>
    </row>
    <row r="47" s="84" customFormat="1" ht="13.5" customHeight="1" spans="4:8">
      <c r="D47" s="107"/>
      <c r="E47" s="108" t="s">
        <v>570</v>
      </c>
      <c r="F47" s="107">
        <v>1</v>
      </c>
      <c r="G47" s="108" t="s">
        <v>761</v>
      </c>
      <c r="H47" s="109"/>
    </row>
    <row r="48" s="86" customFormat="1" ht="20.45" customHeight="1" spans="1:8">
      <c r="A48" s="85"/>
      <c r="B48" s="110" t="s">
        <v>194</v>
      </c>
      <c r="C48" s="110" t="s">
        <v>573</v>
      </c>
      <c r="D48" s="110" t="s">
        <v>574</v>
      </c>
      <c r="E48" s="110" t="s">
        <v>6</v>
      </c>
      <c r="F48" s="110" t="s">
        <v>575</v>
      </c>
      <c r="G48" s="110" t="s">
        <v>576</v>
      </c>
      <c r="H48" s="111" t="s">
        <v>577</v>
      </c>
    </row>
    <row r="49" s="86" customFormat="1" ht="20.1" customHeight="1" spans="1:8">
      <c r="A49" s="89"/>
      <c r="B49" s="112">
        <v>1.00999999046326</v>
      </c>
      <c r="C49" s="113" t="s">
        <v>24</v>
      </c>
      <c r="D49" s="112" t="s">
        <v>253</v>
      </c>
      <c r="E49" s="455" t="s">
        <v>254</v>
      </c>
      <c r="F49" s="112">
        <v>0.8</v>
      </c>
      <c r="G49" s="114">
        <f>'Basic Rates'!$E$29</f>
        <v>2400</v>
      </c>
      <c r="H49" s="115">
        <f t="shared" ref="H49:H54" si="0">G49*F49</f>
        <v>1920</v>
      </c>
    </row>
    <row r="50" s="86" customFormat="1" ht="20.1" customHeight="1" spans="1:8">
      <c r="A50" s="89"/>
      <c r="B50" s="112">
        <v>1.01999998092651</v>
      </c>
      <c r="C50" s="113" t="s">
        <v>436</v>
      </c>
      <c r="D50" s="112" t="s">
        <v>437</v>
      </c>
      <c r="E50" s="112" t="s">
        <v>199</v>
      </c>
      <c r="F50" s="112">
        <v>44</v>
      </c>
      <c r="G50" s="126">
        <f>'Basic Rates'!$E$118</f>
        <v>275</v>
      </c>
      <c r="H50" s="115">
        <f t="shared" si="0"/>
        <v>12100</v>
      </c>
    </row>
    <row r="51" s="81" customFormat="1" ht="20.1" customHeight="1" spans="1:8">
      <c r="A51" s="89"/>
      <c r="B51" s="112">
        <v>1.02999997138977</v>
      </c>
      <c r="C51" s="113" t="s">
        <v>28</v>
      </c>
      <c r="D51" s="112" t="s">
        <v>433</v>
      </c>
      <c r="E51" s="112" t="s">
        <v>638</v>
      </c>
      <c r="F51" s="112">
        <v>0.07</v>
      </c>
      <c r="G51" s="114">
        <f>'Basic Rates'!$E$116</f>
        <v>18000</v>
      </c>
      <c r="H51" s="115">
        <f t="shared" si="0"/>
        <v>1260</v>
      </c>
    </row>
    <row r="52" s="81" customFormat="1" ht="20.1" customHeight="1" spans="1:8">
      <c r="A52" s="89"/>
      <c r="B52" s="112">
        <v>1.03999996185303</v>
      </c>
      <c r="C52" s="113" t="s">
        <v>36</v>
      </c>
      <c r="D52" s="112" t="s">
        <v>525</v>
      </c>
      <c r="E52" s="112" t="s">
        <v>173</v>
      </c>
      <c r="F52" s="112">
        <v>10</v>
      </c>
      <c r="G52" s="114">
        <f>'Basic Rates'!$E$161</f>
        <v>0.3</v>
      </c>
      <c r="H52" s="115">
        <f t="shared" si="0"/>
        <v>3</v>
      </c>
    </row>
    <row r="53" s="83" customFormat="1" ht="20.1" customHeight="1" spans="1:9">
      <c r="A53" s="89"/>
      <c r="B53" s="112">
        <v>1.04999995231628</v>
      </c>
      <c r="C53" s="113" t="s">
        <v>217</v>
      </c>
      <c r="D53" s="112" t="s">
        <v>218</v>
      </c>
      <c r="E53" s="455" t="s">
        <v>175</v>
      </c>
      <c r="F53" s="112">
        <v>1</v>
      </c>
      <c r="G53" s="114">
        <f>'Basic Rates'!$J$12</f>
        <v>3500</v>
      </c>
      <c r="H53" s="115">
        <f t="shared" si="0"/>
        <v>3500</v>
      </c>
      <c r="I53" s="128"/>
    </row>
    <row r="54" s="84" customFormat="1" ht="20.1" customHeight="1" spans="1:8">
      <c r="A54" s="89"/>
      <c r="B54" s="112">
        <v>1.05999994277954</v>
      </c>
      <c r="C54" s="113" t="s">
        <v>208</v>
      </c>
      <c r="D54" s="112" t="s">
        <v>209</v>
      </c>
      <c r="E54" s="455" t="s">
        <v>175</v>
      </c>
      <c r="F54" s="112">
        <v>1.25</v>
      </c>
      <c r="G54" s="114">
        <f>'Basic Rates'!$J$10</f>
        <v>2300</v>
      </c>
      <c r="H54" s="115">
        <f t="shared" si="0"/>
        <v>2875</v>
      </c>
    </row>
    <row r="55" s="84" customFormat="1" ht="20.1" customHeight="1" spans="1:8">
      <c r="A55" s="89"/>
      <c r="B55" s="112">
        <v>1.0699999332428</v>
      </c>
      <c r="C55" s="113" t="s">
        <v>1098</v>
      </c>
      <c r="D55" s="455" t="s">
        <v>676</v>
      </c>
      <c r="E55" s="455" t="s">
        <v>676</v>
      </c>
      <c r="F55" s="455" t="s">
        <v>676</v>
      </c>
      <c r="G55" s="455" t="s">
        <v>676</v>
      </c>
      <c r="H55" s="115">
        <f>(H53+H54)*3/100</f>
        <v>191.25</v>
      </c>
    </row>
    <row r="56" s="85" customFormat="1" ht="20.1" customHeight="1" spans="1:8">
      <c r="A56" s="89"/>
      <c r="B56" s="89"/>
      <c r="C56" s="89"/>
      <c r="D56" s="116" t="s">
        <v>579</v>
      </c>
      <c r="E56" s="117">
        <f>F47</f>
        <v>1</v>
      </c>
      <c r="F56" s="117" t="str">
        <f>$G$14</f>
        <v>Sqr</v>
      </c>
      <c r="G56" s="118"/>
      <c r="H56" s="115">
        <f>SUM(H49:H55)</f>
        <v>21849.25</v>
      </c>
    </row>
    <row r="57" ht="20.1" customHeight="1" spans="4:8">
      <c r="D57" s="116" t="s">
        <v>580</v>
      </c>
      <c r="E57" s="117" t="str">
        <f>$G$14</f>
        <v>Sqr</v>
      </c>
      <c r="F57" s="117"/>
      <c r="G57" s="118"/>
      <c r="H57" s="115">
        <f>H56/E56</f>
        <v>21849.25</v>
      </c>
    </row>
    <row r="58" ht="20.1" customHeight="1" spans="1:8">
      <c r="A58" s="93"/>
      <c r="B58" s="125"/>
      <c r="C58" s="125"/>
      <c r="D58" s="124" t="s">
        <v>581</v>
      </c>
      <c r="E58" s="121"/>
      <c r="F58" s="121"/>
      <c r="G58" s="122" t="s">
        <v>784</v>
      </c>
      <c r="H58" s="123">
        <f>ROUND(H57,0)</f>
        <v>21849</v>
      </c>
    </row>
    <row r="59" ht="20.1" customHeight="1" spans="1:8">
      <c r="A59" s="88"/>
      <c r="B59" s="88"/>
      <c r="C59" s="88"/>
      <c r="D59" s="124" t="s">
        <v>581</v>
      </c>
      <c r="E59" s="121"/>
      <c r="F59" s="121"/>
      <c r="G59" s="122" t="s">
        <v>785</v>
      </c>
      <c r="H59" s="123">
        <f>H58/100</f>
        <v>218.49</v>
      </c>
    </row>
    <row r="60" ht="20.1" customHeight="1" spans="1:8">
      <c r="A60" s="88"/>
      <c r="B60" s="88"/>
      <c r="C60" s="88"/>
      <c r="D60" s="124" t="s">
        <v>581</v>
      </c>
      <c r="E60" s="121"/>
      <c r="F60" s="121"/>
      <c r="G60" s="122" t="s">
        <v>758</v>
      </c>
      <c r="H60" s="123">
        <f>H59*10.76</f>
        <v>2350.9524</v>
      </c>
    </row>
    <row r="61" s="4" customFormat="1" ht="20.1" customHeight="1" spans="1:8">
      <c r="A61" s="42"/>
      <c r="B61" s="42"/>
      <c r="D61" s="48" t="s">
        <v>721</v>
      </c>
      <c r="E61" s="49"/>
      <c r="F61" s="49"/>
      <c r="G61" s="122" t="s">
        <v>758</v>
      </c>
      <c r="H61" s="47">
        <f>H60</f>
        <v>2350.9524</v>
      </c>
    </row>
    <row r="62" s="4" customFormat="1" ht="20.1" customHeight="1" spans="1:8">
      <c r="A62" s="42"/>
      <c r="B62" s="42"/>
      <c r="D62" s="48" t="s">
        <v>722</v>
      </c>
      <c r="E62" s="49"/>
      <c r="F62" s="49"/>
      <c r="G62" s="122" t="s">
        <v>758</v>
      </c>
      <c r="H62" s="47">
        <f>H61*1.1</f>
        <v>2586.04764</v>
      </c>
    </row>
    <row r="63" s="4" customFormat="1" ht="20.1" customHeight="1" spans="1:8">
      <c r="A63" s="42"/>
      <c r="B63" s="42"/>
      <c r="D63" s="48" t="s">
        <v>723</v>
      </c>
      <c r="E63" s="49"/>
      <c r="F63" s="49"/>
      <c r="G63" s="122" t="s">
        <v>758</v>
      </c>
      <c r="H63" s="47">
        <f>H62*1.1</f>
        <v>2844.652404</v>
      </c>
    </row>
    <row r="64" s="4" customFormat="1" ht="20.1" customHeight="1" spans="1:8">
      <c r="A64" s="42"/>
      <c r="B64" s="42"/>
      <c r="D64" s="48" t="s">
        <v>724</v>
      </c>
      <c r="E64" s="49"/>
      <c r="F64" s="49"/>
      <c r="G64" s="122" t="s">
        <v>758</v>
      </c>
      <c r="H64" s="47">
        <f>H63*1.1</f>
        <v>3129.1176444</v>
      </c>
    </row>
    <row r="65" s="5" customFormat="1" ht="20.1" customHeight="1" spans="1:8">
      <c r="A65" s="62"/>
      <c r="B65" s="62"/>
      <c r="D65" s="64"/>
      <c r="E65" s="65"/>
      <c r="F65" s="65"/>
      <c r="G65" s="103"/>
      <c r="H65" s="67"/>
    </row>
    <row r="66" s="81" customFormat="1" ht="30.6" customHeight="1" spans="1:8">
      <c r="A66" s="105" t="s">
        <v>1105</v>
      </c>
      <c r="B66" s="105"/>
      <c r="C66" s="106" t="s">
        <v>1106</v>
      </c>
      <c r="D66" s="106"/>
      <c r="E66" s="106"/>
      <c r="F66" s="106"/>
      <c r="G66" s="106"/>
      <c r="H66" s="106"/>
    </row>
    <row r="67" s="83" customFormat="1" ht="24.95" customHeight="1" spans="1:9">
      <c r="A67" s="84"/>
      <c r="B67" s="84"/>
      <c r="C67" s="84"/>
      <c r="D67" s="107"/>
      <c r="E67" s="108" t="s">
        <v>570</v>
      </c>
      <c r="F67" s="107">
        <v>1</v>
      </c>
      <c r="G67" s="108" t="s">
        <v>571</v>
      </c>
      <c r="H67" s="109"/>
      <c r="I67" s="128"/>
    </row>
    <row r="68" s="84" customFormat="1" ht="18" customHeight="1" spans="1:8">
      <c r="A68" s="85"/>
      <c r="B68" s="110" t="s">
        <v>194</v>
      </c>
      <c r="C68" s="110" t="s">
        <v>573</v>
      </c>
      <c r="D68" s="110" t="s">
        <v>574</v>
      </c>
      <c r="E68" s="110" t="s">
        <v>6</v>
      </c>
      <c r="F68" s="110" t="s">
        <v>575</v>
      </c>
      <c r="G68" s="110" t="s">
        <v>576</v>
      </c>
      <c r="H68" s="111" t="s">
        <v>577</v>
      </c>
    </row>
    <row r="69" s="85" customFormat="1" ht="20.1" customHeight="1" spans="1:8">
      <c r="A69" s="89"/>
      <c r="B69" s="112">
        <v>1.00999999046326</v>
      </c>
      <c r="C69" s="113" t="s">
        <v>24</v>
      </c>
      <c r="D69" s="112" t="s">
        <v>253</v>
      </c>
      <c r="E69" s="455" t="s">
        <v>254</v>
      </c>
      <c r="F69" s="112">
        <v>0.8</v>
      </c>
      <c r="G69" s="114">
        <f>'Basic Rates'!$E$29</f>
        <v>2400</v>
      </c>
      <c r="H69" s="115">
        <f t="shared" ref="H69:H74" si="1">G69*F69</f>
        <v>1920</v>
      </c>
    </row>
    <row r="70" ht="20.1" customHeight="1" spans="2:8">
      <c r="B70" s="112">
        <v>1.01999998092651</v>
      </c>
      <c r="C70" s="113" t="s">
        <v>436</v>
      </c>
      <c r="D70" s="112" t="s">
        <v>437</v>
      </c>
      <c r="E70" s="112" t="s">
        <v>816</v>
      </c>
      <c r="F70" s="112">
        <v>30</v>
      </c>
      <c r="G70" s="126">
        <f>'Basic Rates'!$E$118</f>
        <v>275</v>
      </c>
      <c r="H70" s="115">
        <f t="shared" si="1"/>
        <v>8250</v>
      </c>
    </row>
    <row r="71" ht="20.1" customHeight="1" spans="2:8">
      <c r="B71" s="112">
        <v>1.02999997138977</v>
      </c>
      <c r="C71" s="113" t="s">
        <v>28</v>
      </c>
      <c r="D71" s="112" t="s">
        <v>433</v>
      </c>
      <c r="E71" s="112" t="s">
        <v>638</v>
      </c>
      <c r="F71" s="112">
        <v>0.07</v>
      </c>
      <c r="G71" s="114">
        <f>'Basic Rates'!$E$116</f>
        <v>18000</v>
      </c>
      <c r="H71" s="115">
        <f t="shared" si="1"/>
        <v>1260</v>
      </c>
    </row>
    <row r="72" ht="20.1" customHeight="1" spans="2:8">
      <c r="B72" s="112">
        <v>1.03999996185303</v>
      </c>
      <c r="C72" s="113" t="s">
        <v>36</v>
      </c>
      <c r="D72" s="112" t="s">
        <v>525</v>
      </c>
      <c r="E72" s="112" t="s">
        <v>173</v>
      </c>
      <c r="F72" s="112">
        <v>10</v>
      </c>
      <c r="G72" s="114">
        <f>'Basic Rates'!$E$161</f>
        <v>0.3</v>
      </c>
      <c r="H72" s="115">
        <f t="shared" si="1"/>
        <v>3</v>
      </c>
    </row>
    <row r="73" ht="20.1" customHeight="1" spans="2:8">
      <c r="B73" s="112">
        <v>1.04999995231628</v>
      </c>
      <c r="C73" s="113" t="s">
        <v>217</v>
      </c>
      <c r="D73" s="112" t="s">
        <v>218</v>
      </c>
      <c r="E73" s="455" t="s">
        <v>175</v>
      </c>
      <c r="F73" s="112">
        <v>1.5</v>
      </c>
      <c r="G73" s="114">
        <f>'Basic Rates'!$J$12</f>
        <v>3500</v>
      </c>
      <c r="H73" s="115">
        <f t="shared" si="1"/>
        <v>5250</v>
      </c>
    </row>
    <row r="74" ht="20.1" customHeight="1" spans="2:8">
      <c r="B74" s="112">
        <v>1.05999994277954</v>
      </c>
      <c r="C74" s="113" t="s">
        <v>208</v>
      </c>
      <c r="D74" s="112" t="s">
        <v>209</v>
      </c>
      <c r="E74" s="112" t="s">
        <v>175</v>
      </c>
      <c r="F74" s="112">
        <v>1.5</v>
      </c>
      <c r="G74" s="114">
        <f>'Basic Rates'!$J$10</f>
        <v>2300</v>
      </c>
      <c r="H74" s="115">
        <f t="shared" si="1"/>
        <v>3450</v>
      </c>
    </row>
    <row r="75" ht="20.1" customHeight="1" spans="2:8">
      <c r="B75" s="112">
        <v>1.07000005245209</v>
      </c>
      <c r="C75" s="113" t="s">
        <v>675</v>
      </c>
      <c r="D75" s="455" t="s">
        <v>676</v>
      </c>
      <c r="E75" s="455" t="s">
        <v>676</v>
      </c>
      <c r="F75" s="455" t="s">
        <v>676</v>
      </c>
      <c r="G75" s="455" t="s">
        <v>676</v>
      </c>
      <c r="H75" s="115">
        <f>(H73+H74)*3/100</f>
        <v>261</v>
      </c>
    </row>
    <row r="76" ht="20.45" customHeight="1" spans="2:8">
      <c r="B76" s="129"/>
      <c r="C76" s="129"/>
      <c r="D76" s="116" t="s">
        <v>579</v>
      </c>
      <c r="E76" s="117">
        <f>F67</f>
        <v>1</v>
      </c>
      <c r="F76" s="117" t="str">
        <f>$G$14</f>
        <v>Sqr</v>
      </c>
      <c r="G76" s="118"/>
      <c r="H76" s="115">
        <f>SUM(H69:H75)</f>
        <v>20394</v>
      </c>
    </row>
    <row r="77" ht="20.45" customHeight="1" spans="2:8">
      <c r="B77" s="129"/>
      <c r="C77" s="129"/>
      <c r="D77" s="116" t="s">
        <v>580</v>
      </c>
      <c r="E77" s="117" t="str">
        <f>$G$14</f>
        <v>Sqr</v>
      </c>
      <c r="F77" s="117"/>
      <c r="G77" s="118"/>
      <c r="H77" s="115">
        <f>H76/E76</f>
        <v>20394</v>
      </c>
    </row>
    <row r="78" ht="20.1" customHeight="1" spans="1:8">
      <c r="A78" s="93"/>
      <c r="B78" s="125"/>
      <c r="C78" s="125"/>
      <c r="D78" s="124" t="s">
        <v>581</v>
      </c>
      <c r="E78" s="121"/>
      <c r="F78" s="121"/>
      <c r="G78" s="122" t="s">
        <v>784</v>
      </c>
      <c r="H78" s="123">
        <f>ROUND(H77,0)</f>
        <v>20394</v>
      </c>
    </row>
    <row r="79" ht="20.1" customHeight="1" spans="1:8">
      <c r="A79" s="88"/>
      <c r="B79" s="88"/>
      <c r="C79" s="88"/>
      <c r="D79" s="124" t="s">
        <v>581</v>
      </c>
      <c r="E79" s="121"/>
      <c r="F79" s="121"/>
      <c r="G79" s="122" t="s">
        <v>785</v>
      </c>
      <c r="H79" s="123">
        <f>H78/100</f>
        <v>203.94</v>
      </c>
    </row>
    <row r="80" ht="20.1" customHeight="1" spans="1:8">
      <c r="A80" s="88"/>
      <c r="B80" s="88"/>
      <c r="C80" s="88"/>
      <c r="D80" s="124" t="s">
        <v>581</v>
      </c>
      <c r="E80" s="121"/>
      <c r="F80" s="121"/>
      <c r="G80" s="122" t="s">
        <v>758</v>
      </c>
      <c r="H80" s="123">
        <f>H79*10.76</f>
        <v>2194.3944</v>
      </c>
    </row>
    <row r="81" s="4" customFormat="1" ht="20.1" customHeight="1" spans="1:8">
      <c r="A81" s="42"/>
      <c r="B81" s="42"/>
      <c r="D81" s="48" t="s">
        <v>721</v>
      </c>
      <c r="E81" s="49"/>
      <c r="F81" s="49"/>
      <c r="G81" s="122" t="s">
        <v>758</v>
      </c>
      <c r="H81" s="47">
        <f>H80</f>
        <v>2194.3944</v>
      </c>
    </row>
    <row r="82" s="4" customFormat="1" ht="20.1" customHeight="1" spans="1:8">
      <c r="A82" s="42"/>
      <c r="B82" s="42"/>
      <c r="D82" s="48" t="s">
        <v>722</v>
      </c>
      <c r="E82" s="49"/>
      <c r="F82" s="49"/>
      <c r="G82" s="122" t="s">
        <v>758</v>
      </c>
      <c r="H82" s="47">
        <f>H81*1.1</f>
        <v>2413.83384</v>
      </c>
    </row>
    <row r="83" s="4" customFormat="1" ht="20.1" customHeight="1" spans="1:8">
      <c r="A83" s="42"/>
      <c r="B83" s="42"/>
      <c r="D83" s="48" t="s">
        <v>723</v>
      </c>
      <c r="E83" s="49"/>
      <c r="F83" s="49"/>
      <c r="G83" s="122" t="s">
        <v>758</v>
      </c>
      <c r="H83" s="47">
        <f>H82*1.1</f>
        <v>2655.217224</v>
      </c>
    </row>
    <row r="84" s="4" customFormat="1" ht="20.1" customHeight="1" spans="1:8">
      <c r="A84" s="42"/>
      <c r="B84" s="42"/>
      <c r="D84" s="48" t="s">
        <v>724</v>
      </c>
      <c r="E84" s="49"/>
      <c r="F84" s="49"/>
      <c r="G84" s="122" t="s">
        <v>758</v>
      </c>
      <c r="H84" s="47">
        <f>H83*1.1</f>
        <v>2920.7389464</v>
      </c>
    </row>
    <row r="85" s="86" customFormat="1" ht="23.25" customHeight="1" spans="1:8">
      <c r="A85" s="88"/>
      <c r="B85" s="88"/>
      <c r="C85" s="103"/>
      <c r="D85" s="101"/>
      <c r="E85" s="102"/>
      <c r="F85" s="102"/>
      <c r="G85" s="103"/>
      <c r="H85" s="104"/>
    </row>
    <row r="86" ht="20.45" customHeight="1" spans="1:8">
      <c r="A86" s="105" t="s">
        <v>1107</v>
      </c>
      <c r="B86" s="105"/>
      <c r="C86" s="106" t="s">
        <v>1108</v>
      </c>
      <c r="D86" s="106"/>
      <c r="E86" s="106"/>
      <c r="F86" s="106"/>
      <c r="G86" s="106"/>
      <c r="H86" s="106"/>
    </row>
    <row r="87" ht="20.45" customHeight="1" spans="1:8">
      <c r="A87" s="84"/>
      <c r="B87" s="84"/>
      <c r="C87" s="84"/>
      <c r="D87" s="107"/>
      <c r="E87" s="108" t="s">
        <v>570</v>
      </c>
      <c r="F87" s="107">
        <v>1</v>
      </c>
      <c r="G87" s="108" t="s">
        <v>571</v>
      </c>
      <c r="H87" s="109"/>
    </row>
    <row r="88" ht="20.45" customHeight="1" spans="1:8">
      <c r="A88" s="85"/>
      <c r="B88" s="110" t="s">
        <v>194</v>
      </c>
      <c r="C88" s="110" t="s">
        <v>573</v>
      </c>
      <c r="D88" s="110" t="s">
        <v>574</v>
      </c>
      <c r="E88" s="110" t="s">
        <v>6</v>
      </c>
      <c r="F88" s="110" t="s">
        <v>575</v>
      </c>
      <c r="G88" s="110" t="s">
        <v>576</v>
      </c>
      <c r="H88" s="111" t="s">
        <v>577</v>
      </c>
    </row>
    <row r="89" s="81" customFormat="1" ht="20.1" customHeight="1" spans="1:11">
      <c r="A89" s="89"/>
      <c r="B89" s="112">
        <v>1.00999999046326</v>
      </c>
      <c r="C89" s="113" t="s">
        <v>436</v>
      </c>
      <c r="D89" s="112" t="s">
        <v>437</v>
      </c>
      <c r="E89" s="112" t="s">
        <v>816</v>
      </c>
      <c r="F89" s="112">
        <v>65</v>
      </c>
      <c r="G89" s="126">
        <f>'Basic Rates'!$E$118</f>
        <v>275</v>
      </c>
      <c r="H89" s="115">
        <f>F89*G89</f>
        <v>17875</v>
      </c>
      <c r="K89" s="132"/>
    </row>
    <row r="90" s="81" customFormat="1" ht="20.1" customHeight="1" spans="1:8">
      <c r="A90" s="89"/>
      <c r="B90" s="112">
        <v>1.01999998092651</v>
      </c>
      <c r="C90" s="113" t="s">
        <v>28</v>
      </c>
      <c r="D90" s="112" t="s">
        <v>433</v>
      </c>
      <c r="E90" s="455" t="s">
        <v>638</v>
      </c>
      <c r="F90" s="112">
        <v>0.07</v>
      </c>
      <c r="G90" s="114">
        <f>'Basic Rates'!$E$116</f>
        <v>18000</v>
      </c>
      <c r="H90" s="115">
        <f>F90*G90</f>
        <v>1260</v>
      </c>
    </row>
    <row r="91" s="83" customFormat="1" ht="20.1" customHeight="1" spans="1:9">
      <c r="A91" s="89"/>
      <c r="B91" s="112">
        <v>1.02999997138977</v>
      </c>
      <c r="C91" s="113" t="s">
        <v>36</v>
      </c>
      <c r="D91" s="112" t="s">
        <v>525</v>
      </c>
      <c r="E91" s="112" t="s">
        <v>173</v>
      </c>
      <c r="F91" s="112">
        <v>10</v>
      </c>
      <c r="G91" s="114">
        <f>'Basic Rates'!$E$161</f>
        <v>0.3</v>
      </c>
      <c r="H91" s="115">
        <f>F91*G91</f>
        <v>3</v>
      </c>
      <c r="I91" s="128"/>
    </row>
    <row r="92" s="84" customFormat="1" ht="20.1" customHeight="1" spans="1:8">
      <c r="A92" s="89"/>
      <c r="B92" s="112">
        <v>1.03999996185303</v>
      </c>
      <c r="C92" s="113" t="s">
        <v>217</v>
      </c>
      <c r="D92" s="112" t="s">
        <v>218</v>
      </c>
      <c r="E92" s="112" t="s">
        <v>175</v>
      </c>
      <c r="F92" s="112">
        <v>1</v>
      </c>
      <c r="G92" s="114">
        <f>'Basic Rates'!$J$12</f>
        <v>3500</v>
      </c>
      <c r="H92" s="115">
        <f>F92*G92</f>
        <v>3500</v>
      </c>
    </row>
    <row r="93" s="85" customFormat="1" ht="20.1" customHeight="1" spans="1:8">
      <c r="A93" s="89"/>
      <c r="B93" s="112">
        <v>1.04999995231628</v>
      </c>
      <c r="C93" s="113" t="s">
        <v>208</v>
      </c>
      <c r="D93" s="112" t="s">
        <v>209</v>
      </c>
      <c r="E93" s="455" t="s">
        <v>175</v>
      </c>
      <c r="F93" s="112">
        <v>1.75</v>
      </c>
      <c r="G93" s="114">
        <f>'Basic Rates'!$J$10</f>
        <v>2300</v>
      </c>
      <c r="H93" s="115">
        <f>F93*G93</f>
        <v>4025</v>
      </c>
    </row>
    <row r="94" ht="20.1" customHeight="1" spans="2:8">
      <c r="B94" s="112">
        <v>1.05999994277954</v>
      </c>
      <c r="C94" s="113" t="s">
        <v>1098</v>
      </c>
      <c r="D94" s="455" t="s">
        <v>676</v>
      </c>
      <c r="E94" s="455" t="s">
        <v>676</v>
      </c>
      <c r="F94" s="455" t="s">
        <v>676</v>
      </c>
      <c r="G94" s="455" t="s">
        <v>676</v>
      </c>
      <c r="H94" s="115">
        <f>(H92+H93)*3/100</f>
        <v>225.75</v>
      </c>
    </row>
    <row r="95" ht="20.45" customHeight="1" spans="4:8">
      <c r="D95" s="116" t="s">
        <v>579</v>
      </c>
      <c r="E95" s="117">
        <f>F87</f>
        <v>1</v>
      </c>
      <c r="F95" s="117" t="str">
        <f>$G$87</f>
        <v>Sqr</v>
      </c>
      <c r="G95" s="118"/>
      <c r="H95" s="115">
        <f>SUM(H89:H94)</f>
        <v>26888.75</v>
      </c>
    </row>
    <row r="96" ht="20.45" customHeight="1" spans="4:8">
      <c r="D96" s="116" t="s">
        <v>580</v>
      </c>
      <c r="E96" s="117" t="str">
        <f>$G$87</f>
        <v>Sqr</v>
      </c>
      <c r="F96" s="117"/>
      <c r="G96" s="118"/>
      <c r="H96" s="115">
        <f>H95/E95</f>
        <v>26888.75</v>
      </c>
    </row>
    <row r="97" ht="20.1" customHeight="1" spans="1:8">
      <c r="A97" s="93"/>
      <c r="B97" s="125"/>
      <c r="C97" s="125"/>
      <c r="D97" s="130" t="s">
        <v>581</v>
      </c>
      <c r="E97" s="131"/>
      <c r="F97" s="131"/>
      <c r="G97" s="122" t="s">
        <v>784</v>
      </c>
      <c r="H97" s="123">
        <f>ROUND(H96,0)</f>
        <v>26889</v>
      </c>
    </row>
    <row r="98" ht="20.1" customHeight="1" spans="1:8">
      <c r="A98" s="88"/>
      <c r="B98" s="88"/>
      <c r="C98" s="88"/>
      <c r="D98" s="130" t="s">
        <v>581</v>
      </c>
      <c r="E98" s="131"/>
      <c r="F98" s="131"/>
      <c r="G98" s="122" t="s">
        <v>785</v>
      </c>
      <c r="H98" s="123">
        <f>H97/100</f>
        <v>268.89</v>
      </c>
    </row>
    <row r="99" ht="20.1" customHeight="1" spans="1:8">
      <c r="A99" s="88"/>
      <c r="B99" s="88"/>
      <c r="C99" s="88"/>
      <c r="D99" s="130" t="s">
        <v>581</v>
      </c>
      <c r="E99" s="131"/>
      <c r="F99" s="131"/>
      <c r="G99" s="122" t="s">
        <v>758</v>
      </c>
      <c r="H99" s="123">
        <f>H98*10.76</f>
        <v>2893.2564</v>
      </c>
    </row>
    <row r="100" s="87" customFormat="1" ht="20.45" customHeight="1" spans="1:8">
      <c r="A100" s="88"/>
      <c r="B100" s="88"/>
      <c r="C100" s="88"/>
      <c r="D100" s="101"/>
      <c r="E100" s="102"/>
      <c r="F100" s="102"/>
      <c r="G100" s="103"/>
      <c r="H100" s="104"/>
    </row>
    <row r="101" s="1" customFormat="1" ht="20.25" customHeight="1" spans="1:9">
      <c r="A101" s="19"/>
      <c r="B101" s="20"/>
      <c r="C101" s="21"/>
      <c r="D101" s="22" t="s">
        <v>1093</v>
      </c>
      <c r="E101" s="21"/>
      <c r="F101" s="21"/>
      <c r="G101" s="23"/>
      <c r="H101" s="24"/>
      <c r="I101" s="56"/>
    </row>
    <row r="102" s="6" customFormat="1" ht="9" customHeight="1" spans="4:8">
      <c r="D102" s="7"/>
      <c r="E102" s="7"/>
      <c r="F102" s="7"/>
      <c r="G102" s="8"/>
      <c r="H102" s="9"/>
    </row>
    <row r="103" s="83" customFormat="1" ht="21" customHeight="1" spans="1:9">
      <c r="A103" s="105" t="s">
        <v>1109</v>
      </c>
      <c r="B103" s="105"/>
      <c r="C103" s="106" t="s">
        <v>1110</v>
      </c>
      <c r="D103" s="106"/>
      <c r="E103" s="106"/>
      <c r="F103" s="106"/>
      <c r="G103" s="106"/>
      <c r="H103" s="106"/>
      <c r="I103" s="128"/>
    </row>
    <row r="104" s="84" customFormat="1" ht="13.5" customHeight="1" spans="4:8">
      <c r="D104" s="107"/>
      <c r="E104" s="108" t="s">
        <v>570</v>
      </c>
      <c r="F104" s="107">
        <v>1</v>
      </c>
      <c r="G104" s="108" t="s">
        <v>571</v>
      </c>
      <c r="H104" s="109"/>
    </row>
    <row r="105" ht="20.45" customHeight="1" spans="1:8">
      <c r="A105" s="85"/>
      <c r="B105" s="110" t="s">
        <v>194</v>
      </c>
      <c r="C105" s="110" t="s">
        <v>573</v>
      </c>
      <c r="D105" s="110" t="s">
        <v>574</v>
      </c>
      <c r="E105" s="110" t="s">
        <v>6</v>
      </c>
      <c r="F105" s="110" t="s">
        <v>575</v>
      </c>
      <c r="G105" s="110" t="s">
        <v>576</v>
      </c>
      <c r="H105" s="111" t="s">
        <v>577</v>
      </c>
    </row>
    <row r="106" s="81" customFormat="1" ht="20.1" customHeight="1" spans="1:8">
      <c r="A106" s="89"/>
      <c r="B106" s="112">
        <v>1.00999999046326</v>
      </c>
      <c r="C106" s="113" t="s">
        <v>24</v>
      </c>
      <c r="D106" s="112" t="s">
        <v>253</v>
      </c>
      <c r="E106" s="455" t="s">
        <v>254</v>
      </c>
      <c r="F106" s="112">
        <v>1.75</v>
      </c>
      <c r="G106" s="114">
        <f>'Basic Rates'!$E$29</f>
        <v>2400</v>
      </c>
      <c r="H106" s="115">
        <f t="shared" ref="H106:H111" si="2">G106*F106</f>
        <v>4200</v>
      </c>
    </row>
    <row r="107" s="81" customFormat="1" ht="20.1" customHeight="1" spans="1:8">
      <c r="A107" s="89"/>
      <c r="B107" s="112">
        <f>B106+0.01</f>
        <v>1.01999999046326</v>
      </c>
      <c r="C107" s="113" t="s">
        <v>28</v>
      </c>
      <c r="D107" s="112" t="s">
        <v>433</v>
      </c>
      <c r="E107" s="455" t="s">
        <v>638</v>
      </c>
      <c r="F107" s="112">
        <v>0.13</v>
      </c>
      <c r="G107" s="114">
        <f>'Basic Rates'!$E$116</f>
        <v>18000</v>
      </c>
      <c r="H107" s="115">
        <f t="shared" si="2"/>
        <v>2340</v>
      </c>
    </row>
    <row r="108" s="83" customFormat="1" ht="20.1" customHeight="1" spans="1:9">
      <c r="A108" s="89"/>
      <c r="B108" s="112">
        <f>B107+0.01</f>
        <v>1.02999999046326</v>
      </c>
      <c r="C108" s="113" t="s">
        <v>36</v>
      </c>
      <c r="D108" s="112" t="s">
        <v>525</v>
      </c>
      <c r="E108" s="112" t="s">
        <v>173</v>
      </c>
      <c r="F108" s="112">
        <v>10</v>
      </c>
      <c r="G108" s="114">
        <f>'Basic Rates'!$E$161</f>
        <v>0.3</v>
      </c>
      <c r="H108" s="115">
        <f t="shared" si="2"/>
        <v>3</v>
      </c>
      <c r="I108" s="128"/>
    </row>
    <row r="109" s="84" customFormat="1" ht="20.1" customHeight="1" spans="1:8">
      <c r="A109" s="89"/>
      <c r="B109" s="112">
        <f>B108+0.01</f>
        <v>1.03999999046326</v>
      </c>
      <c r="C109" s="113" t="s">
        <v>217</v>
      </c>
      <c r="D109" s="112" t="s">
        <v>218</v>
      </c>
      <c r="E109" s="112" t="s">
        <v>175</v>
      </c>
      <c r="F109" s="112">
        <v>1.25</v>
      </c>
      <c r="G109" s="114">
        <f>'Basic Rates'!$J$12</f>
        <v>3500</v>
      </c>
      <c r="H109" s="115">
        <f t="shared" si="2"/>
        <v>4375</v>
      </c>
    </row>
    <row r="110" s="85" customFormat="1" ht="20.1" customHeight="1" spans="1:8">
      <c r="A110" s="89"/>
      <c r="B110" s="112">
        <f>B109+0.01</f>
        <v>1.04999999046326</v>
      </c>
      <c r="C110" s="113" t="s">
        <v>208</v>
      </c>
      <c r="D110" s="112" t="s">
        <v>209</v>
      </c>
      <c r="E110" s="455" t="s">
        <v>175</v>
      </c>
      <c r="F110" s="112">
        <v>2</v>
      </c>
      <c r="G110" s="114">
        <f>'Basic Rates'!$J$10</f>
        <v>2300</v>
      </c>
      <c r="H110" s="115">
        <f t="shared" si="2"/>
        <v>4600</v>
      </c>
    </row>
    <row r="111" ht="20.1" customHeight="1" spans="2:8">
      <c r="B111" s="112">
        <f>B110+0.01</f>
        <v>1.05999999046326</v>
      </c>
      <c r="C111" s="113" t="s">
        <v>1111</v>
      </c>
      <c r="D111" s="112" t="s">
        <v>209</v>
      </c>
      <c r="E111" s="455" t="s">
        <v>175</v>
      </c>
      <c r="F111" s="112">
        <v>0.25</v>
      </c>
      <c r="G111" s="114">
        <f>'Basic Rates'!$J$10</f>
        <v>2300</v>
      </c>
      <c r="H111" s="115">
        <f t="shared" si="2"/>
        <v>575</v>
      </c>
    </row>
    <row r="112" ht="20.1" customHeight="1" spans="4:8">
      <c r="D112" s="116" t="s">
        <v>579</v>
      </c>
      <c r="E112" s="117">
        <f>F104</f>
        <v>1</v>
      </c>
      <c r="F112" s="117" t="str">
        <f>$G$104</f>
        <v>Sqr</v>
      </c>
      <c r="G112" s="118"/>
      <c r="H112" s="115">
        <f>SUM(H106:H111)</f>
        <v>16093</v>
      </c>
    </row>
    <row r="113" ht="20.1" customHeight="1" spans="4:8">
      <c r="D113" s="116" t="s">
        <v>580</v>
      </c>
      <c r="E113" s="117" t="str">
        <f>$G$104</f>
        <v>Sqr</v>
      </c>
      <c r="F113" s="117"/>
      <c r="G113" s="118"/>
      <c r="H113" s="115">
        <f>H112/E112</f>
        <v>16093</v>
      </c>
    </row>
    <row r="114" ht="20.1" customHeight="1" spans="1:8">
      <c r="A114" s="93"/>
      <c r="B114" s="125"/>
      <c r="C114" s="125"/>
      <c r="D114" s="124" t="s">
        <v>581</v>
      </c>
      <c r="E114" s="121"/>
      <c r="F114" s="121"/>
      <c r="G114" s="122" t="s">
        <v>784</v>
      </c>
      <c r="H114" s="123">
        <f>ROUND(H113,0)</f>
        <v>16093</v>
      </c>
    </row>
    <row r="115" ht="20.1" customHeight="1" spans="1:8">
      <c r="A115" s="88"/>
      <c r="B115" s="88"/>
      <c r="C115" s="88"/>
      <c r="D115" s="124" t="s">
        <v>581</v>
      </c>
      <c r="E115" s="121"/>
      <c r="F115" s="121"/>
      <c r="G115" s="122" t="s">
        <v>785</v>
      </c>
      <c r="H115" s="123">
        <f>H114/100</f>
        <v>160.93</v>
      </c>
    </row>
    <row r="116" ht="20.1" customHeight="1" spans="1:8">
      <c r="A116" s="88"/>
      <c r="B116" s="88"/>
      <c r="C116" s="88"/>
      <c r="D116" s="124" t="s">
        <v>581</v>
      </c>
      <c r="E116" s="121"/>
      <c r="F116" s="121"/>
      <c r="G116" s="122" t="s">
        <v>758</v>
      </c>
      <c r="H116" s="123">
        <f>H115*10.76</f>
        <v>1731.6068</v>
      </c>
    </row>
    <row r="117" s="4" customFormat="1" ht="20.1" customHeight="1" spans="1:8">
      <c r="A117" s="42"/>
      <c r="B117" s="42"/>
      <c r="D117" s="48" t="s">
        <v>746</v>
      </c>
      <c r="E117" s="49"/>
      <c r="F117" s="49"/>
      <c r="G117" s="122" t="s">
        <v>758</v>
      </c>
      <c r="H117" s="47">
        <f>H116</f>
        <v>1731.6068</v>
      </c>
    </row>
    <row r="118" s="4" customFormat="1" ht="20.1" customHeight="1" spans="1:8">
      <c r="A118" s="42"/>
      <c r="B118" s="42"/>
      <c r="D118" s="48" t="s">
        <v>747</v>
      </c>
      <c r="E118" s="49"/>
      <c r="F118" s="49"/>
      <c r="G118" s="122" t="s">
        <v>758</v>
      </c>
      <c r="H118" s="47">
        <f>H117*1.1</f>
        <v>1904.76748</v>
      </c>
    </row>
    <row r="119" s="4" customFormat="1" ht="20.1" customHeight="1" spans="1:8">
      <c r="A119" s="42"/>
      <c r="B119" s="42"/>
      <c r="D119" s="48" t="s">
        <v>748</v>
      </c>
      <c r="E119" s="49"/>
      <c r="F119" s="49"/>
      <c r="G119" s="122" t="s">
        <v>758</v>
      </c>
      <c r="H119" s="47">
        <f>H118*1.1</f>
        <v>2095.244228</v>
      </c>
    </row>
    <row r="120" s="4" customFormat="1" ht="20.1" customHeight="1" spans="1:8">
      <c r="A120" s="42"/>
      <c r="B120" s="42"/>
      <c r="D120" s="48" t="s">
        <v>749</v>
      </c>
      <c r="E120" s="49"/>
      <c r="F120" s="49"/>
      <c r="G120" s="122" t="s">
        <v>758</v>
      </c>
      <c r="H120" s="47">
        <f>H119*1.1</f>
        <v>2304.7686508</v>
      </c>
    </row>
    <row r="121" s="81" customFormat="1" ht="21" customHeight="1" spans="1:8">
      <c r="A121" s="93"/>
      <c r="B121" s="93"/>
      <c r="C121" s="93"/>
      <c r="D121" s="94"/>
      <c r="E121" s="95"/>
      <c r="F121" s="95"/>
      <c r="G121" s="96"/>
      <c r="H121" s="97"/>
    </row>
    <row r="122" s="83" customFormat="1" ht="20.25" customHeight="1" spans="1:9">
      <c r="A122" s="105" t="s">
        <v>1112</v>
      </c>
      <c r="B122" s="105"/>
      <c r="C122" s="106" t="s">
        <v>1113</v>
      </c>
      <c r="D122" s="106"/>
      <c r="E122" s="106"/>
      <c r="F122" s="106"/>
      <c r="G122" s="106"/>
      <c r="H122" s="106"/>
      <c r="I122" s="128"/>
    </row>
    <row r="123" s="84" customFormat="1" ht="15" customHeight="1" spans="4:8">
      <c r="D123" s="107"/>
      <c r="E123" s="108" t="s">
        <v>570</v>
      </c>
      <c r="F123" s="107">
        <v>1</v>
      </c>
      <c r="G123" s="108" t="s">
        <v>571</v>
      </c>
      <c r="H123" s="109"/>
    </row>
    <row r="124" s="85" customFormat="1" ht="12" customHeight="1" spans="2:8">
      <c r="B124" s="110" t="s">
        <v>194</v>
      </c>
      <c r="C124" s="110" t="s">
        <v>573</v>
      </c>
      <c r="D124" s="110" t="s">
        <v>574</v>
      </c>
      <c r="E124" s="110" t="s">
        <v>6</v>
      </c>
      <c r="F124" s="110" t="s">
        <v>575</v>
      </c>
      <c r="G124" s="110" t="s">
        <v>576</v>
      </c>
      <c r="H124" s="111" t="s">
        <v>577</v>
      </c>
    </row>
    <row r="125" ht="20.45" customHeight="1" spans="2:8">
      <c r="B125" s="112">
        <v>1.00999999046326</v>
      </c>
      <c r="C125" s="113" t="s">
        <v>24</v>
      </c>
      <c r="D125" s="112" t="s">
        <v>253</v>
      </c>
      <c r="E125" s="455" t="s">
        <v>254</v>
      </c>
      <c r="F125" s="112">
        <v>1.07</v>
      </c>
      <c r="G125" s="114">
        <f>'Basic Rates'!$E$29</f>
        <v>2400</v>
      </c>
      <c r="H125" s="115">
        <f>G125*F125</f>
        <v>2568</v>
      </c>
    </row>
    <row r="126" ht="20.45" customHeight="1" spans="2:8">
      <c r="B126" s="112">
        <f>B125+0.01</f>
        <v>1.01999999046326</v>
      </c>
      <c r="C126" s="113" t="s">
        <v>28</v>
      </c>
      <c r="D126" s="112" t="s">
        <v>433</v>
      </c>
      <c r="E126" s="455" t="s">
        <v>638</v>
      </c>
      <c r="F126" s="112">
        <v>0.05</v>
      </c>
      <c r="G126" s="114">
        <f>'Basic Rates'!$E$116</f>
        <v>18000</v>
      </c>
      <c r="H126" s="115">
        <f>G126*F126</f>
        <v>900</v>
      </c>
    </row>
    <row r="127" ht="20.45" customHeight="1" spans="2:8">
      <c r="B127" s="112">
        <f>B126+0.01</f>
        <v>1.02999999046326</v>
      </c>
      <c r="C127" s="113" t="s">
        <v>36</v>
      </c>
      <c r="D127" s="112" t="s">
        <v>525</v>
      </c>
      <c r="E127" s="112" t="s">
        <v>173</v>
      </c>
      <c r="F127" s="112">
        <v>10</v>
      </c>
      <c r="G127" s="114">
        <f>'Basic Rates'!$E$161</f>
        <v>0.3</v>
      </c>
      <c r="H127" s="115">
        <f>G127*F127</f>
        <v>3</v>
      </c>
    </row>
    <row r="128" ht="20.45" customHeight="1" spans="2:8">
      <c r="B128" s="112">
        <f>B127+0.01</f>
        <v>1.03999999046326</v>
      </c>
      <c r="C128" s="113" t="s">
        <v>217</v>
      </c>
      <c r="D128" s="112" t="s">
        <v>218</v>
      </c>
      <c r="E128" s="112" t="s">
        <v>175</v>
      </c>
      <c r="F128" s="112">
        <v>1</v>
      </c>
      <c r="G128" s="114">
        <f>'Basic Rates'!$J$12</f>
        <v>3500</v>
      </c>
      <c r="H128" s="115">
        <f>G128*F128</f>
        <v>3500</v>
      </c>
    </row>
    <row r="129" ht="20.45" customHeight="1" spans="2:8">
      <c r="B129" s="112">
        <f>B128+0.01</f>
        <v>1.04999999046326</v>
      </c>
      <c r="C129" s="113" t="s">
        <v>208</v>
      </c>
      <c r="D129" s="112" t="s">
        <v>209</v>
      </c>
      <c r="E129" s="455" t="s">
        <v>175</v>
      </c>
      <c r="F129" s="112">
        <v>1.5</v>
      </c>
      <c r="G129" s="114">
        <f>'Basic Rates'!$J$10</f>
        <v>2300</v>
      </c>
      <c r="H129" s="115">
        <f>G129*F129</f>
        <v>3450</v>
      </c>
    </row>
    <row r="130" ht="20.1" customHeight="1" spans="2:8">
      <c r="B130" s="129"/>
      <c r="C130" s="129"/>
      <c r="D130" s="116" t="s">
        <v>579</v>
      </c>
      <c r="E130" s="117">
        <f>F123</f>
        <v>1</v>
      </c>
      <c r="F130" s="117" t="str">
        <f>$G$123</f>
        <v>Sqr</v>
      </c>
      <c r="G130" s="118"/>
      <c r="H130" s="115">
        <f>SUM(H125:H129)</f>
        <v>10421</v>
      </c>
    </row>
    <row r="131" ht="20.1" customHeight="1" spans="2:8">
      <c r="B131" s="129"/>
      <c r="C131" s="129"/>
      <c r="D131" s="116" t="s">
        <v>580</v>
      </c>
      <c r="E131" s="117" t="str">
        <f>$G$123</f>
        <v>Sqr</v>
      </c>
      <c r="F131" s="117"/>
      <c r="G131" s="118"/>
      <c r="H131" s="115">
        <f>H130/E130</f>
        <v>10421</v>
      </c>
    </row>
    <row r="132" ht="20.1" customHeight="1" spans="1:8">
      <c r="A132" s="93"/>
      <c r="B132" s="125"/>
      <c r="C132" s="125"/>
      <c r="D132" s="124" t="s">
        <v>581</v>
      </c>
      <c r="E132" s="121"/>
      <c r="F132" s="121"/>
      <c r="G132" s="122" t="s">
        <v>784</v>
      </c>
      <c r="H132" s="123">
        <f>ROUND(H131,0)</f>
        <v>10421</v>
      </c>
    </row>
    <row r="133" ht="20.1" customHeight="1" spans="1:8">
      <c r="A133" s="88"/>
      <c r="B133" s="88"/>
      <c r="C133" s="88"/>
      <c r="D133" s="124" t="s">
        <v>581</v>
      </c>
      <c r="E133" s="121"/>
      <c r="F133" s="121"/>
      <c r="G133" s="122" t="s">
        <v>785</v>
      </c>
      <c r="H133" s="123">
        <f>H132/100</f>
        <v>104.21</v>
      </c>
    </row>
    <row r="134" ht="20.1" customHeight="1" spans="1:8">
      <c r="A134" s="88"/>
      <c r="B134" s="88"/>
      <c r="C134" s="88"/>
      <c r="D134" s="124" t="s">
        <v>581</v>
      </c>
      <c r="E134" s="121"/>
      <c r="F134" s="121"/>
      <c r="G134" s="122" t="s">
        <v>758</v>
      </c>
      <c r="H134" s="123">
        <f>H133*10.76</f>
        <v>1121.2996</v>
      </c>
    </row>
    <row r="135" s="81" customFormat="1" ht="21.75" customHeight="1" spans="1:11">
      <c r="A135" s="93"/>
      <c r="B135" s="93"/>
      <c r="C135" s="93"/>
      <c r="D135" s="94"/>
      <c r="E135" s="95"/>
      <c r="F135" s="95"/>
      <c r="G135" s="96"/>
      <c r="H135" s="97"/>
      <c r="K135" s="132"/>
    </row>
    <row r="136" s="81" customFormat="1" ht="18.75" customHeight="1" spans="1:8">
      <c r="A136" s="105" t="s">
        <v>1114</v>
      </c>
      <c r="B136" s="105"/>
      <c r="C136" s="106" t="s">
        <v>1115</v>
      </c>
      <c r="D136" s="106"/>
      <c r="E136" s="106"/>
      <c r="F136" s="106"/>
      <c r="G136" s="106"/>
      <c r="H136" s="106"/>
    </row>
    <row r="137" s="83" customFormat="1" ht="12" customHeight="1" spans="1:9">
      <c r="A137" s="84"/>
      <c r="B137" s="84"/>
      <c r="C137" s="84"/>
      <c r="D137" s="107"/>
      <c r="E137" s="108" t="s">
        <v>570</v>
      </c>
      <c r="F137" s="107">
        <v>1</v>
      </c>
      <c r="G137" s="108" t="s">
        <v>761</v>
      </c>
      <c r="H137" s="109"/>
      <c r="I137" s="128"/>
    </row>
    <row r="138" s="84" customFormat="1" ht="18" customHeight="1" spans="1:8">
      <c r="A138" s="85"/>
      <c r="B138" s="110" t="s">
        <v>194</v>
      </c>
      <c r="C138" s="110" t="s">
        <v>573</v>
      </c>
      <c r="D138" s="110" t="s">
        <v>574</v>
      </c>
      <c r="E138" s="110" t="s">
        <v>6</v>
      </c>
      <c r="F138" s="110" t="s">
        <v>575</v>
      </c>
      <c r="G138" s="110" t="s">
        <v>576</v>
      </c>
      <c r="H138" s="111" t="s">
        <v>577</v>
      </c>
    </row>
    <row r="139" s="85" customFormat="1" ht="20.1" customHeight="1" spans="1:8">
      <c r="A139" s="89" t="s">
        <v>1116</v>
      </c>
      <c r="B139" s="112">
        <v>1.00999999046326</v>
      </c>
      <c r="C139" s="113" t="s">
        <v>24</v>
      </c>
      <c r="D139" s="112" t="s">
        <v>253</v>
      </c>
      <c r="E139" s="455" t="s">
        <v>254</v>
      </c>
      <c r="F139" s="112">
        <v>1.5</v>
      </c>
      <c r="G139" s="114">
        <f>'Basic Rates'!$E$29</f>
        <v>2400</v>
      </c>
      <c r="H139" s="115">
        <f t="shared" ref="H139:H144" si="3">G139*F139</f>
        <v>3600</v>
      </c>
    </row>
    <row r="140" ht="20.1" customHeight="1" spans="2:8">
      <c r="B140" s="112">
        <f>B139+0.01</f>
        <v>1.01999999046326</v>
      </c>
      <c r="C140" s="113" t="s">
        <v>28</v>
      </c>
      <c r="D140" s="112" t="s">
        <v>433</v>
      </c>
      <c r="E140" s="455" t="s">
        <v>638</v>
      </c>
      <c r="F140" s="112">
        <v>0.05</v>
      </c>
      <c r="G140" s="114">
        <f>'Basic Rates'!$E$116</f>
        <v>18000</v>
      </c>
      <c r="H140" s="115">
        <f t="shared" si="3"/>
        <v>900</v>
      </c>
    </row>
    <row r="141" ht="20.1" customHeight="1" spans="2:8">
      <c r="B141" s="112">
        <f>B140+0.01</f>
        <v>1.02999999046326</v>
      </c>
      <c r="C141" s="113" t="s">
        <v>36</v>
      </c>
      <c r="D141" s="112" t="s">
        <v>525</v>
      </c>
      <c r="E141" s="112" t="s">
        <v>173</v>
      </c>
      <c r="F141" s="112">
        <v>10</v>
      </c>
      <c r="G141" s="114">
        <f>'Basic Rates'!$E$161</f>
        <v>0.3</v>
      </c>
      <c r="H141" s="115">
        <f t="shared" si="3"/>
        <v>3</v>
      </c>
    </row>
    <row r="142" ht="20.1" customHeight="1" spans="2:8">
      <c r="B142" s="112">
        <f>B141+0.01</f>
        <v>1.03999999046326</v>
      </c>
      <c r="C142" s="113" t="s">
        <v>217</v>
      </c>
      <c r="D142" s="112" t="s">
        <v>218</v>
      </c>
      <c r="E142" s="112" t="s">
        <v>175</v>
      </c>
      <c r="F142" s="112">
        <v>1</v>
      </c>
      <c r="G142" s="114">
        <f>'Basic Rates'!$J$12</f>
        <v>3500</v>
      </c>
      <c r="H142" s="115">
        <f t="shared" si="3"/>
        <v>3500</v>
      </c>
    </row>
    <row r="143" ht="20.1" customHeight="1" spans="2:8">
      <c r="B143" s="112">
        <f>B142+0.01</f>
        <v>1.04999999046326</v>
      </c>
      <c r="C143" s="113" t="s">
        <v>208</v>
      </c>
      <c r="D143" s="112" t="s">
        <v>209</v>
      </c>
      <c r="E143" s="455" t="s">
        <v>175</v>
      </c>
      <c r="F143" s="112">
        <v>1.5</v>
      </c>
      <c r="G143" s="114">
        <f>'Basic Rates'!$J$10</f>
        <v>2300</v>
      </c>
      <c r="H143" s="115">
        <f t="shared" si="3"/>
        <v>3450</v>
      </c>
    </row>
    <row r="144" ht="20.1" customHeight="1" spans="2:8">
      <c r="B144" s="112">
        <f>B143+0.01</f>
        <v>1.05999999046326</v>
      </c>
      <c r="C144" s="113" t="s">
        <v>1111</v>
      </c>
      <c r="D144" s="112" t="s">
        <v>209</v>
      </c>
      <c r="E144" s="455" t="s">
        <v>175</v>
      </c>
      <c r="F144" s="112">
        <v>0.25</v>
      </c>
      <c r="G144" s="114">
        <f>'Basic Rates'!$J$10</f>
        <v>2300</v>
      </c>
      <c r="H144" s="115">
        <f t="shared" si="3"/>
        <v>575</v>
      </c>
    </row>
    <row r="145" ht="20.1" customHeight="1" spans="4:8">
      <c r="D145" s="116" t="s">
        <v>579</v>
      </c>
      <c r="E145" s="117">
        <f>F137</f>
        <v>1</v>
      </c>
      <c r="F145" s="117" t="str">
        <f>$G$137</f>
        <v>Sq</v>
      </c>
      <c r="G145" s="118"/>
      <c r="H145" s="115">
        <f>SUM(H139:H144)</f>
        <v>12028</v>
      </c>
    </row>
    <row r="146" ht="20.1" customHeight="1" spans="4:8">
      <c r="D146" s="116" t="s">
        <v>580</v>
      </c>
      <c r="E146" s="117" t="str">
        <f>$G$137</f>
        <v>Sq</v>
      </c>
      <c r="F146" s="117"/>
      <c r="G146" s="118"/>
      <c r="H146" s="115">
        <f>H145/E145</f>
        <v>12028</v>
      </c>
    </row>
    <row r="147" ht="20.1" customHeight="1" spans="1:8">
      <c r="A147" s="93"/>
      <c r="B147" s="125"/>
      <c r="C147" s="125"/>
      <c r="D147" s="124" t="s">
        <v>581</v>
      </c>
      <c r="E147" s="121"/>
      <c r="F147" s="121"/>
      <c r="G147" s="122" t="s">
        <v>784</v>
      </c>
      <c r="H147" s="123">
        <f>ROUND(H146,0)</f>
        <v>12028</v>
      </c>
    </row>
    <row r="148" ht="20.1" customHeight="1" spans="1:8">
      <c r="A148" s="88"/>
      <c r="B148" s="88"/>
      <c r="C148" s="88"/>
      <c r="D148" s="124" t="s">
        <v>581</v>
      </c>
      <c r="E148" s="121"/>
      <c r="F148" s="121"/>
      <c r="G148" s="122" t="s">
        <v>785</v>
      </c>
      <c r="H148" s="123">
        <f>H147/100</f>
        <v>120.28</v>
      </c>
    </row>
    <row r="149" ht="20.1" customHeight="1" spans="1:8">
      <c r="A149" s="88"/>
      <c r="B149" s="88"/>
      <c r="C149" s="88"/>
      <c r="D149" s="124" t="s">
        <v>581</v>
      </c>
      <c r="E149" s="121"/>
      <c r="F149" s="121"/>
      <c r="G149" s="122" t="s">
        <v>758</v>
      </c>
      <c r="H149" s="123">
        <f>H148*10.76</f>
        <v>1294.2128</v>
      </c>
    </row>
    <row r="150" s="81" customFormat="1" ht="23.25" customHeight="1" spans="1:11">
      <c r="A150" s="93"/>
      <c r="B150" s="93"/>
      <c r="C150" s="93"/>
      <c r="D150" s="94"/>
      <c r="E150" s="95"/>
      <c r="F150" s="95"/>
      <c r="G150" s="96"/>
      <c r="H150" s="97"/>
      <c r="K150" s="132"/>
    </row>
    <row r="151" s="81" customFormat="1" ht="20.25" customHeight="1" spans="1:8">
      <c r="A151" s="105" t="s">
        <v>1117</v>
      </c>
      <c r="B151" s="105"/>
      <c r="C151" s="106" t="s">
        <v>1118</v>
      </c>
      <c r="D151" s="106"/>
      <c r="E151" s="106"/>
      <c r="F151" s="106"/>
      <c r="G151" s="106"/>
      <c r="H151" s="106"/>
    </row>
    <row r="152" s="83" customFormat="1" ht="15" customHeight="1" spans="1:9">
      <c r="A152" s="84"/>
      <c r="B152" s="84"/>
      <c r="C152" s="84"/>
      <c r="D152" s="107"/>
      <c r="E152" s="108" t="s">
        <v>570</v>
      </c>
      <c r="F152" s="107">
        <v>1</v>
      </c>
      <c r="G152" s="108" t="s">
        <v>571</v>
      </c>
      <c r="H152" s="109"/>
      <c r="I152" s="128"/>
    </row>
    <row r="153" s="84" customFormat="1" ht="18" customHeight="1" spans="1:8">
      <c r="A153" s="85"/>
      <c r="B153" s="110" t="s">
        <v>194</v>
      </c>
      <c r="C153" s="110" t="s">
        <v>573</v>
      </c>
      <c r="D153" s="110" t="s">
        <v>574</v>
      </c>
      <c r="E153" s="110" t="s">
        <v>6</v>
      </c>
      <c r="F153" s="110" t="s">
        <v>575</v>
      </c>
      <c r="G153" s="110" t="s">
        <v>576</v>
      </c>
      <c r="H153" s="111" t="s">
        <v>577</v>
      </c>
    </row>
    <row r="154" s="85" customFormat="1" ht="20.1" customHeight="1" spans="1:8">
      <c r="A154" s="89"/>
      <c r="B154" s="112">
        <v>1.00999999046326</v>
      </c>
      <c r="C154" s="113" t="s">
        <v>24</v>
      </c>
      <c r="D154" s="112" t="s">
        <v>253</v>
      </c>
      <c r="E154" s="455" t="s">
        <v>254</v>
      </c>
      <c r="F154" s="112">
        <v>2.25</v>
      </c>
      <c r="G154" s="114">
        <f>'Basic Rates'!$E$29</f>
        <v>2400</v>
      </c>
      <c r="H154" s="115">
        <f t="shared" ref="H154:H159" si="4">G154*F154</f>
        <v>5400</v>
      </c>
    </row>
    <row r="155" ht="20.1" customHeight="1" spans="2:8">
      <c r="B155" s="112">
        <f>B154+0.01</f>
        <v>1.01999999046326</v>
      </c>
      <c r="C155" s="113" t="s">
        <v>28</v>
      </c>
      <c r="D155" s="112" t="s">
        <v>433</v>
      </c>
      <c r="E155" s="455" t="s">
        <v>638</v>
      </c>
      <c r="F155" s="112">
        <v>0.08</v>
      </c>
      <c r="G155" s="114">
        <f>'Basic Rates'!$E$116</f>
        <v>18000</v>
      </c>
      <c r="H155" s="115">
        <f t="shared" si="4"/>
        <v>1440</v>
      </c>
    </row>
    <row r="156" ht="20.1" customHeight="1" spans="2:8">
      <c r="B156" s="112">
        <f>B155+0.01</f>
        <v>1.02999999046326</v>
      </c>
      <c r="C156" s="113" t="s">
        <v>36</v>
      </c>
      <c r="D156" s="112" t="s">
        <v>525</v>
      </c>
      <c r="E156" s="112" t="s">
        <v>173</v>
      </c>
      <c r="F156" s="112">
        <v>10</v>
      </c>
      <c r="G156" s="114">
        <f>'Basic Rates'!$E$161</f>
        <v>0.3</v>
      </c>
      <c r="H156" s="115">
        <f t="shared" si="4"/>
        <v>3</v>
      </c>
    </row>
    <row r="157" ht="20.1" customHeight="1" spans="2:8">
      <c r="B157" s="112">
        <f>B156+0.01</f>
        <v>1.03999999046326</v>
      </c>
      <c r="C157" s="113" t="s">
        <v>217</v>
      </c>
      <c r="D157" s="112" t="s">
        <v>218</v>
      </c>
      <c r="E157" s="112" t="s">
        <v>175</v>
      </c>
      <c r="F157" s="112">
        <v>1.25</v>
      </c>
      <c r="G157" s="114">
        <f>'Basic Rates'!$J$12</f>
        <v>3500</v>
      </c>
      <c r="H157" s="115">
        <f t="shared" si="4"/>
        <v>4375</v>
      </c>
    </row>
    <row r="158" ht="20.1" customHeight="1" spans="2:8">
      <c r="B158" s="112">
        <f>B157+0.01</f>
        <v>1.04999999046326</v>
      </c>
      <c r="C158" s="113" t="s">
        <v>208</v>
      </c>
      <c r="D158" s="112" t="s">
        <v>209</v>
      </c>
      <c r="E158" s="455" t="s">
        <v>175</v>
      </c>
      <c r="F158" s="112">
        <v>2</v>
      </c>
      <c r="G158" s="114">
        <f>'Basic Rates'!$J$10</f>
        <v>2300</v>
      </c>
      <c r="H158" s="115">
        <f t="shared" si="4"/>
        <v>4600</v>
      </c>
    </row>
    <row r="159" ht="20.1" customHeight="1" spans="2:8">
      <c r="B159" s="112">
        <f>B158+0.01</f>
        <v>1.05999999046326</v>
      </c>
      <c r="C159" s="113" t="s">
        <v>1111</v>
      </c>
      <c r="D159" s="112" t="s">
        <v>209</v>
      </c>
      <c r="E159" s="455" t="s">
        <v>175</v>
      </c>
      <c r="F159" s="112">
        <v>0.25</v>
      </c>
      <c r="G159" s="114">
        <f>'Basic Rates'!$J$10</f>
        <v>2300</v>
      </c>
      <c r="H159" s="115">
        <f t="shared" si="4"/>
        <v>575</v>
      </c>
    </row>
    <row r="160" ht="20.45" customHeight="1" spans="4:8">
      <c r="D160" s="116" t="s">
        <v>579</v>
      </c>
      <c r="E160" s="117">
        <f>F152</f>
        <v>1</v>
      </c>
      <c r="F160" s="117" t="str">
        <f>$G$152</f>
        <v>Sqr</v>
      </c>
      <c r="G160" s="118"/>
      <c r="H160" s="115">
        <f>SUM(H154:H159)</f>
        <v>16393</v>
      </c>
    </row>
    <row r="161" ht="20.45" customHeight="1" spans="4:8">
      <c r="D161" s="116" t="s">
        <v>580</v>
      </c>
      <c r="E161" s="117" t="str">
        <f>$G$152</f>
        <v>Sqr</v>
      </c>
      <c r="F161" s="117"/>
      <c r="G161" s="118"/>
      <c r="H161" s="115">
        <f>H160/E160</f>
        <v>16393</v>
      </c>
    </row>
    <row r="162" ht="20.1" customHeight="1" spans="1:8">
      <c r="A162" s="93"/>
      <c r="B162" s="125"/>
      <c r="C162" s="125"/>
      <c r="D162" s="124" t="s">
        <v>581</v>
      </c>
      <c r="E162" s="121"/>
      <c r="F162" s="121"/>
      <c r="G162" s="122" t="s">
        <v>784</v>
      </c>
      <c r="H162" s="123">
        <f>ROUND(H161,0)</f>
        <v>16393</v>
      </c>
    </row>
    <row r="163" ht="20.1" customHeight="1" spans="1:8">
      <c r="A163" s="88"/>
      <c r="B163" s="88"/>
      <c r="C163" s="88"/>
      <c r="D163" s="124" t="s">
        <v>581</v>
      </c>
      <c r="E163" s="121"/>
      <c r="F163" s="121"/>
      <c r="G163" s="122" t="s">
        <v>785</v>
      </c>
      <c r="H163" s="123">
        <f>H162/100</f>
        <v>163.93</v>
      </c>
    </row>
    <row r="164" ht="20.1" customHeight="1" spans="1:8">
      <c r="A164" s="88"/>
      <c r="B164" s="88"/>
      <c r="C164" s="88"/>
      <c r="D164" s="124" t="s">
        <v>581</v>
      </c>
      <c r="E164" s="121"/>
      <c r="F164" s="121"/>
      <c r="G164" s="122" t="s">
        <v>758</v>
      </c>
      <c r="H164" s="123">
        <f>H163*10.76</f>
        <v>1763.8868</v>
      </c>
    </row>
    <row r="165" ht="20.45" customHeight="1" spans="1:8">
      <c r="A165" s="93"/>
      <c r="B165" s="93"/>
      <c r="C165" s="93"/>
      <c r="D165" s="94"/>
      <c r="E165" s="95"/>
      <c r="F165" s="95"/>
      <c r="G165" s="96"/>
      <c r="H165" s="97"/>
    </row>
    <row r="166" s="81" customFormat="1" ht="21.75" customHeight="1" spans="1:11">
      <c r="A166" s="105" t="s">
        <v>1119</v>
      </c>
      <c r="B166" s="105"/>
      <c r="C166" s="106" t="s">
        <v>1120</v>
      </c>
      <c r="D166" s="106"/>
      <c r="E166" s="106"/>
      <c r="F166" s="106"/>
      <c r="G166" s="106"/>
      <c r="H166" s="106"/>
      <c r="K166" s="132"/>
    </row>
    <row r="167" s="81" customFormat="1" ht="15.75" customHeight="1" spans="1:8">
      <c r="A167" s="84"/>
      <c r="B167" s="84"/>
      <c r="C167" s="84"/>
      <c r="D167" s="107"/>
      <c r="E167" s="108" t="s">
        <v>570</v>
      </c>
      <c r="F167" s="107">
        <v>1</v>
      </c>
      <c r="G167" s="108" t="s">
        <v>571</v>
      </c>
      <c r="H167" s="109"/>
    </row>
    <row r="168" s="83" customFormat="1" ht="24.95" customHeight="1" spans="1:9">
      <c r="A168" s="85"/>
      <c r="B168" s="110" t="s">
        <v>194</v>
      </c>
      <c r="C168" s="110" t="s">
        <v>573</v>
      </c>
      <c r="D168" s="110" t="s">
        <v>574</v>
      </c>
      <c r="E168" s="110" t="s">
        <v>6</v>
      </c>
      <c r="F168" s="110" t="s">
        <v>575</v>
      </c>
      <c r="G168" s="110" t="s">
        <v>576</v>
      </c>
      <c r="H168" s="111" t="s">
        <v>577</v>
      </c>
      <c r="I168" s="128"/>
    </row>
    <row r="169" s="84" customFormat="1" ht="20.1" customHeight="1" spans="1:8">
      <c r="A169" s="89"/>
      <c r="B169" s="112">
        <v>1.00999999046326</v>
      </c>
      <c r="C169" s="113" t="s">
        <v>24</v>
      </c>
      <c r="D169" s="112" t="s">
        <v>253</v>
      </c>
      <c r="E169" s="455" t="s">
        <v>254</v>
      </c>
      <c r="F169" s="112">
        <v>2.25</v>
      </c>
      <c r="G169" s="114">
        <f>'Basic Rates'!$E$29</f>
        <v>2400</v>
      </c>
      <c r="H169" s="115">
        <f>G169*F169</f>
        <v>5400</v>
      </c>
    </row>
    <row r="170" s="85" customFormat="1" ht="20.1" customHeight="1" spans="1:8">
      <c r="A170" s="89"/>
      <c r="B170" s="112">
        <f t="shared" ref="B170:B175" si="5">B169+0.01</f>
        <v>1.01999999046326</v>
      </c>
      <c r="C170" s="113" t="s">
        <v>28</v>
      </c>
      <c r="D170" s="112" t="s">
        <v>433</v>
      </c>
      <c r="E170" s="455" t="s">
        <v>638</v>
      </c>
      <c r="F170" s="112">
        <v>0.08</v>
      </c>
      <c r="G170" s="114">
        <f>'Basic Rates'!$E$116</f>
        <v>18000</v>
      </c>
      <c r="H170" s="115">
        <f t="shared" ref="H170:H175" si="6">G170*F170</f>
        <v>1440</v>
      </c>
    </row>
    <row r="171" ht="20.1" customHeight="1" spans="2:8">
      <c r="B171" s="112">
        <f t="shared" si="5"/>
        <v>1.02999999046326</v>
      </c>
      <c r="C171" s="113" t="s">
        <v>271</v>
      </c>
      <c r="D171" s="112" t="s">
        <v>272</v>
      </c>
      <c r="E171" s="112" t="s">
        <v>199</v>
      </c>
      <c r="F171" s="112">
        <v>5</v>
      </c>
      <c r="G171" s="114">
        <f>'Basic Rates'!$E$38</f>
        <v>175</v>
      </c>
      <c r="H171" s="115">
        <f t="shared" si="6"/>
        <v>875</v>
      </c>
    </row>
    <row r="172" ht="20.1" customHeight="1" spans="2:8">
      <c r="B172" s="112">
        <f t="shared" si="5"/>
        <v>1.03999999046326</v>
      </c>
      <c r="C172" s="113" t="s">
        <v>36</v>
      </c>
      <c r="D172" s="112" t="s">
        <v>525</v>
      </c>
      <c r="E172" s="112" t="s">
        <v>173</v>
      </c>
      <c r="F172" s="112">
        <v>10</v>
      </c>
      <c r="G172" s="114">
        <f>'Basic Rates'!$E$161</f>
        <v>0.3</v>
      </c>
      <c r="H172" s="115">
        <f t="shared" si="6"/>
        <v>3</v>
      </c>
    </row>
    <row r="173" ht="20.1" customHeight="1" spans="2:8">
      <c r="B173" s="112">
        <f t="shared" si="5"/>
        <v>1.04999999046326</v>
      </c>
      <c r="C173" s="113" t="s">
        <v>217</v>
      </c>
      <c r="D173" s="112" t="s">
        <v>218</v>
      </c>
      <c r="E173" s="455" t="s">
        <v>175</v>
      </c>
      <c r="F173" s="112">
        <v>1.25</v>
      </c>
      <c r="G173" s="114">
        <f>'Basic Rates'!$J$12</f>
        <v>3500</v>
      </c>
      <c r="H173" s="115">
        <f t="shared" si="6"/>
        <v>4375</v>
      </c>
    </row>
    <row r="174" ht="20.1" customHeight="1" spans="2:8">
      <c r="B174" s="112">
        <f t="shared" si="5"/>
        <v>1.05999999046326</v>
      </c>
      <c r="C174" s="113" t="s">
        <v>208</v>
      </c>
      <c r="D174" s="112" t="s">
        <v>209</v>
      </c>
      <c r="E174" s="112" t="s">
        <v>175</v>
      </c>
      <c r="F174" s="112">
        <v>2</v>
      </c>
      <c r="G174" s="114">
        <f>'Basic Rates'!$J$10</f>
        <v>2300</v>
      </c>
      <c r="H174" s="115">
        <f t="shared" si="6"/>
        <v>4600</v>
      </c>
    </row>
    <row r="175" ht="20.1" customHeight="1" spans="2:8">
      <c r="B175" s="112">
        <f t="shared" si="5"/>
        <v>1.06999999046326</v>
      </c>
      <c r="C175" s="113" t="s">
        <v>1111</v>
      </c>
      <c r="D175" s="112" t="s">
        <v>209</v>
      </c>
      <c r="E175" s="455" t="s">
        <v>175</v>
      </c>
      <c r="F175" s="112">
        <v>0.25</v>
      </c>
      <c r="G175" s="114">
        <f>'Basic Rates'!$J$10</f>
        <v>2300</v>
      </c>
      <c r="H175" s="115">
        <f t="shared" si="6"/>
        <v>575</v>
      </c>
    </row>
    <row r="176" ht="20.1" customHeight="1" spans="2:8">
      <c r="B176" s="129"/>
      <c r="C176" s="129"/>
      <c r="D176" s="116" t="s">
        <v>579</v>
      </c>
      <c r="E176" s="117">
        <f>F167</f>
        <v>1</v>
      </c>
      <c r="F176" s="117" t="str">
        <f>$G$167</f>
        <v>Sqr</v>
      </c>
      <c r="G176" s="118"/>
      <c r="H176" s="115">
        <f>SUM(H169:H175)</f>
        <v>17268</v>
      </c>
    </row>
    <row r="177" ht="20.1" customHeight="1" spans="2:8">
      <c r="B177" s="129"/>
      <c r="C177" s="129"/>
      <c r="D177" s="116" t="s">
        <v>580</v>
      </c>
      <c r="E177" s="117" t="str">
        <f>$G$167</f>
        <v>Sqr</v>
      </c>
      <c r="F177" s="117"/>
      <c r="G177" s="118"/>
      <c r="H177" s="115">
        <f>H176/E176</f>
        <v>17268</v>
      </c>
    </row>
    <row r="178" ht="20.1" customHeight="1" spans="1:8">
      <c r="A178" s="93"/>
      <c r="B178" s="125"/>
      <c r="C178" s="125"/>
      <c r="D178" s="130" t="s">
        <v>581</v>
      </c>
      <c r="E178" s="131"/>
      <c r="F178" s="131"/>
      <c r="G178" s="122" t="s">
        <v>784</v>
      </c>
      <c r="H178" s="123">
        <f>ROUND(H177,0)</f>
        <v>17268</v>
      </c>
    </row>
    <row r="179" ht="20.1" customHeight="1" spans="1:8">
      <c r="A179" s="88"/>
      <c r="B179" s="88"/>
      <c r="C179" s="88"/>
      <c r="D179" s="130" t="s">
        <v>581</v>
      </c>
      <c r="E179" s="131"/>
      <c r="F179" s="131"/>
      <c r="G179" s="122" t="s">
        <v>785</v>
      </c>
      <c r="H179" s="123">
        <f>H178/100</f>
        <v>172.68</v>
      </c>
    </row>
    <row r="180" ht="20.1" customHeight="1" spans="1:8">
      <c r="A180" s="88"/>
      <c r="B180" s="88"/>
      <c r="C180" s="88"/>
      <c r="D180" s="130" t="s">
        <v>581</v>
      </c>
      <c r="E180" s="131"/>
      <c r="F180" s="131"/>
      <c r="G180" s="122" t="s">
        <v>758</v>
      </c>
      <c r="H180" s="123">
        <f>H179*10.76</f>
        <v>1858.0368</v>
      </c>
    </row>
    <row r="181" s="88" customFormat="1" ht="21" customHeight="1" spans="2:11">
      <c r="B181" s="100"/>
      <c r="C181" s="100"/>
      <c r="D181" s="101"/>
      <c r="E181" s="102"/>
      <c r="F181" s="102"/>
      <c r="G181" s="103"/>
      <c r="H181" s="104"/>
      <c r="K181" s="133"/>
    </row>
    <row r="182" s="1" customFormat="1" ht="20.25" customHeight="1" spans="1:9">
      <c r="A182" s="19"/>
      <c r="B182" s="20"/>
      <c r="C182" s="21"/>
      <c r="D182" s="22" t="s">
        <v>1094</v>
      </c>
      <c r="E182" s="21"/>
      <c r="F182" s="21"/>
      <c r="G182" s="23"/>
      <c r="H182" s="24"/>
      <c r="I182" s="56"/>
    </row>
    <row r="183" s="6" customFormat="1" ht="9" customHeight="1" spans="4:8">
      <c r="D183" s="7"/>
      <c r="E183" s="7"/>
      <c r="F183" s="7"/>
      <c r="G183" s="8"/>
      <c r="H183" s="9"/>
    </row>
    <row r="184" ht="23.25" customHeight="1" spans="1:8">
      <c r="A184" s="105" t="s">
        <v>1121</v>
      </c>
      <c r="B184" s="105"/>
      <c r="C184" s="106" t="s">
        <v>1122</v>
      </c>
      <c r="D184" s="106"/>
      <c r="E184" s="106"/>
      <c r="F184" s="106"/>
      <c r="G184" s="106"/>
      <c r="H184" s="106"/>
    </row>
    <row r="185" ht="13.5" customHeight="1" spans="1:8">
      <c r="A185" s="84"/>
      <c r="B185" s="84"/>
      <c r="C185" s="84"/>
      <c r="D185" s="107"/>
      <c r="E185" s="108" t="s">
        <v>570</v>
      </c>
      <c r="F185" s="107">
        <v>1</v>
      </c>
      <c r="G185" s="108" t="s">
        <v>571</v>
      </c>
      <c r="H185" s="109"/>
    </row>
    <row r="186" s="81" customFormat="1" ht="15" customHeight="1" spans="1:11">
      <c r="A186" s="85"/>
      <c r="B186" s="110" t="s">
        <v>194</v>
      </c>
      <c r="C186" s="110" t="s">
        <v>573</v>
      </c>
      <c r="D186" s="110" t="s">
        <v>574</v>
      </c>
      <c r="E186" s="110" t="s">
        <v>6</v>
      </c>
      <c r="F186" s="110" t="s">
        <v>575</v>
      </c>
      <c r="G186" s="110" t="s">
        <v>576</v>
      </c>
      <c r="H186" s="111" t="s">
        <v>577</v>
      </c>
      <c r="K186" s="132"/>
    </row>
    <row r="187" s="81" customFormat="1" ht="20.1" customHeight="1" spans="1:8">
      <c r="A187" s="89"/>
      <c r="B187" s="112">
        <v>1.00999999046326</v>
      </c>
      <c r="C187" s="113" t="s">
        <v>24</v>
      </c>
      <c r="D187" s="112" t="s">
        <v>253</v>
      </c>
      <c r="E187" s="455" t="s">
        <v>254</v>
      </c>
      <c r="F187" s="112">
        <v>0.8</v>
      </c>
      <c r="G187" s="114">
        <f>'Basic Rates'!$E$29</f>
        <v>2400</v>
      </c>
      <c r="H187" s="115">
        <f t="shared" ref="H187:H192" si="7">G187*F187</f>
        <v>1920</v>
      </c>
    </row>
    <row r="188" s="83" customFormat="1" ht="20.1" customHeight="1" spans="1:9">
      <c r="A188" s="89"/>
      <c r="B188" s="112">
        <v>1.01999998092651</v>
      </c>
      <c r="C188" s="113" t="s">
        <v>436</v>
      </c>
      <c r="D188" s="112" t="s">
        <v>437</v>
      </c>
      <c r="E188" s="112" t="s">
        <v>816</v>
      </c>
      <c r="F188" s="112">
        <v>8</v>
      </c>
      <c r="G188" s="126">
        <f>'Basic Rates'!$E$118</f>
        <v>275</v>
      </c>
      <c r="H188" s="115">
        <f t="shared" si="7"/>
        <v>2200</v>
      </c>
      <c r="I188" s="128"/>
    </row>
    <row r="189" s="84" customFormat="1" ht="20.1" customHeight="1" spans="1:8">
      <c r="A189" s="89"/>
      <c r="B189" s="112">
        <v>1.02999997138977</v>
      </c>
      <c r="C189" s="113" t="s">
        <v>28</v>
      </c>
      <c r="D189" s="112" t="s">
        <v>433</v>
      </c>
      <c r="E189" s="112" t="s">
        <v>638</v>
      </c>
      <c r="F189" s="112">
        <v>0.05</v>
      </c>
      <c r="G189" s="114">
        <f>'Basic Rates'!$E$116</f>
        <v>18000</v>
      </c>
      <c r="H189" s="115">
        <f t="shared" si="7"/>
        <v>900</v>
      </c>
    </row>
    <row r="190" s="85" customFormat="1" ht="20.1" customHeight="1" spans="1:8">
      <c r="A190" s="89"/>
      <c r="B190" s="112">
        <v>1.03999996185303</v>
      </c>
      <c r="C190" s="113" t="s">
        <v>36</v>
      </c>
      <c r="D190" s="112" t="s">
        <v>525</v>
      </c>
      <c r="E190" s="112" t="s">
        <v>173</v>
      </c>
      <c r="F190" s="112">
        <v>5</v>
      </c>
      <c r="G190" s="114">
        <f>'Basic Rates'!$E$161</f>
        <v>0.3</v>
      </c>
      <c r="H190" s="115">
        <f t="shared" si="7"/>
        <v>1.5</v>
      </c>
    </row>
    <row r="191" ht="20.1" customHeight="1" spans="2:8">
      <c r="B191" s="112">
        <v>1.04999995231628</v>
      </c>
      <c r="C191" s="113" t="s">
        <v>217</v>
      </c>
      <c r="D191" s="112" t="s">
        <v>218</v>
      </c>
      <c r="E191" s="455" t="s">
        <v>175</v>
      </c>
      <c r="F191" s="112">
        <v>2.5</v>
      </c>
      <c r="G191" s="114">
        <f>'Basic Rates'!$J$12</f>
        <v>3500</v>
      </c>
      <c r="H191" s="115">
        <f t="shared" si="7"/>
        <v>8750</v>
      </c>
    </row>
    <row r="192" ht="20.1" customHeight="1" spans="2:8">
      <c r="B192" s="112">
        <v>1.05999994277954</v>
      </c>
      <c r="C192" s="113" t="s">
        <v>208</v>
      </c>
      <c r="D192" s="112" t="s">
        <v>209</v>
      </c>
      <c r="E192" s="112" t="s">
        <v>175</v>
      </c>
      <c r="F192" s="112">
        <v>2.5</v>
      </c>
      <c r="G192" s="114">
        <f>'Basic Rates'!$J$10</f>
        <v>2300</v>
      </c>
      <c r="H192" s="115">
        <f t="shared" si="7"/>
        <v>5750</v>
      </c>
    </row>
    <row r="193" ht="20.1" customHeight="1" spans="2:8">
      <c r="B193" s="112">
        <v>1.07000005245209</v>
      </c>
      <c r="C193" s="113" t="s">
        <v>675</v>
      </c>
      <c r="D193" s="455" t="s">
        <v>676</v>
      </c>
      <c r="E193" s="455" t="s">
        <v>676</v>
      </c>
      <c r="F193" s="455" t="s">
        <v>676</v>
      </c>
      <c r="G193" s="455" t="s">
        <v>676</v>
      </c>
      <c r="H193" s="115">
        <f>(H191+H192)*3/100</f>
        <v>435</v>
      </c>
    </row>
    <row r="194" ht="20.1" customHeight="1" spans="2:8">
      <c r="B194" s="129"/>
      <c r="C194" s="129"/>
      <c r="D194" s="116" t="s">
        <v>579</v>
      </c>
      <c r="E194" s="117">
        <f>F185</f>
        <v>1</v>
      </c>
      <c r="F194" s="117" t="str">
        <f>$G$14</f>
        <v>Sqr</v>
      </c>
      <c r="G194" s="118"/>
      <c r="H194" s="115">
        <f>SUM(H188:H193)</f>
        <v>18036.5</v>
      </c>
    </row>
    <row r="195" ht="20.1" customHeight="1" spans="2:8">
      <c r="B195" s="129"/>
      <c r="C195" s="129"/>
      <c r="D195" s="134" t="s">
        <v>580</v>
      </c>
      <c r="E195" s="135" t="str">
        <f>$G$14</f>
        <v>Sqr</v>
      </c>
      <c r="F195" s="135"/>
      <c r="G195" s="118"/>
      <c r="H195" s="115">
        <f>H194/E194</f>
        <v>18036.5</v>
      </c>
    </row>
    <row r="196" ht="20.1" customHeight="1" spans="1:8">
      <c r="A196" s="93"/>
      <c r="B196" s="125"/>
      <c r="C196" s="125"/>
      <c r="D196" s="124" t="s">
        <v>581</v>
      </c>
      <c r="E196" s="121"/>
      <c r="F196" s="136"/>
      <c r="G196" s="137" t="s">
        <v>784</v>
      </c>
      <c r="H196" s="123">
        <f>ROUND(H195,0)</f>
        <v>18037</v>
      </c>
    </row>
    <row r="197" ht="20.1" customHeight="1" spans="1:8">
      <c r="A197" s="88"/>
      <c r="B197" s="88"/>
      <c r="C197" s="88"/>
      <c r="D197" s="124" t="s">
        <v>581</v>
      </c>
      <c r="E197" s="121"/>
      <c r="F197" s="136"/>
      <c r="G197" s="137" t="s">
        <v>785</v>
      </c>
      <c r="H197" s="123">
        <f>H196/100</f>
        <v>180.37</v>
      </c>
    </row>
    <row r="198" ht="20.1" customHeight="1" spans="1:8">
      <c r="A198" s="88"/>
      <c r="B198" s="88"/>
      <c r="C198" s="88"/>
      <c r="D198" s="124" t="s">
        <v>581</v>
      </c>
      <c r="E198" s="121"/>
      <c r="F198" s="136"/>
      <c r="G198" s="137" t="s">
        <v>758</v>
      </c>
      <c r="H198" s="123">
        <f>H197*10.76</f>
        <v>1940.7812</v>
      </c>
    </row>
    <row r="199" s="4" customFormat="1" ht="20.1" customHeight="1" spans="1:8">
      <c r="A199" s="42"/>
      <c r="B199" s="42"/>
      <c r="D199" s="138" t="s">
        <v>746</v>
      </c>
      <c r="E199" s="139"/>
      <c r="F199" s="139"/>
      <c r="G199" s="122" t="s">
        <v>758</v>
      </c>
      <c r="H199" s="47">
        <f>H198</f>
        <v>1940.7812</v>
      </c>
    </row>
    <row r="200" s="4" customFormat="1" ht="20.1" customHeight="1" spans="1:8">
      <c r="A200" s="42"/>
      <c r="B200" s="42"/>
      <c r="D200" s="48" t="s">
        <v>747</v>
      </c>
      <c r="E200" s="49"/>
      <c r="F200" s="49"/>
      <c r="G200" s="122" t="s">
        <v>758</v>
      </c>
      <c r="H200" s="47">
        <f>H199*1.1</f>
        <v>2134.85932</v>
      </c>
    </row>
    <row r="201" s="4" customFormat="1" ht="20.1" customHeight="1" spans="1:8">
      <c r="A201" s="42"/>
      <c r="B201" s="42"/>
      <c r="D201" s="48" t="s">
        <v>748</v>
      </c>
      <c r="E201" s="49"/>
      <c r="F201" s="49"/>
      <c r="G201" s="122" t="s">
        <v>758</v>
      </c>
      <c r="H201" s="47">
        <f>H200*1.1</f>
        <v>2348.345252</v>
      </c>
    </row>
    <row r="202" s="4" customFormat="1" ht="20.1" customHeight="1" spans="1:8">
      <c r="A202" s="42"/>
      <c r="B202" s="42"/>
      <c r="D202" s="48" t="s">
        <v>749</v>
      </c>
      <c r="E202" s="49"/>
      <c r="F202" s="49"/>
      <c r="G202" s="122" t="s">
        <v>758</v>
      </c>
      <c r="H202" s="47">
        <f>H201*1.1</f>
        <v>2583.1797772</v>
      </c>
    </row>
    <row r="203" s="86" customFormat="1" ht="20.45" customHeight="1" spans="1:8">
      <c r="A203" s="88"/>
      <c r="B203" s="100"/>
      <c r="C203" s="100"/>
      <c r="D203" s="101"/>
      <c r="E203" s="102"/>
      <c r="F203" s="102"/>
      <c r="G203" s="103"/>
      <c r="H203" s="104"/>
    </row>
    <row r="204" ht="28.5" customHeight="1" spans="1:8">
      <c r="A204" s="105" t="s">
        <v>1123</v>
      </c>
      <c r="B204" s="105"/>
      <c r="C204" s="106" t="s">
        <v>1124</v>
      </c>
      <c r="D204" s="106"/>
      <c r="E204" s="106"/>
      <c r="F204" s="106"/>
      <c r="G204" s="106"/>
      <c r="H204" s="106"/>
    </row>
    <row r="205" ht="20.45" customHeight="1" spans="1:8">
      <c r="A205" s="84"/>
      <c r="B205" s="84"/>
      <c r="C205" s="84"/>
      <c r="D205" s="107"/>
      <c r="E205" s="108" t="s">
        <v>570</v>
      </c>
      <c r="F205" s="107">
        <v>1</v>
      </c>
      <c r="G205" s="108" t="s">
        <v>761</v>
      </c>
      <c r="H205" s="109"/>
    </row>
    <row r="206" s="81" customFormat="1" ht="15" customHeight="1" spans="1:11">
      <c r="A206" s="85"/>
      <c r="B206" s="110" t="s">
        <v>194</v>
      </c>
      <c r="C206" s="110" t="s">
        <v>573</v>
      </c>
      <c r="D206" s="110" t="s">
        <v>574</v>
      </c>
      <c r="E206" s="110" t="s">
        <v>6</v>
      </c>
      <c r="F206" s="110" t="s">
        <v>575</v>
      </c>
      <c r="G206" s="110" t="s">
        <v>576</v>
      </c>
      <c r="H206" s="111" t="s">
        <v>577</v>
      </c>
      <c r="K206" s="132"/>
    </row>
    <row r="207" s="81" customFormat="1" ht="20.1" customHeight="1" spans="1:8">
      <c r="A207" s="89"/>
      <c r="B207" s="112">
        <v>1.00999999046326</v>
      </c>
      <c r="C207" s="113" t="s">
        <v>24</v>
      </c>
      <c r="D207" s="112" t="s">
        <v>253</v>
      </c>
      <c r="E207" s="455" t="s">
        <v>254</v>
      </c>
      <c r="F207" s="112">
        <v>0.8</v>
      </c>
      <c r="G207" s="114">
        <f>'Basic Rates'!$E$29</f>
        <v>2400</v>
      </c>
      <c r="H207" s="115">
        <f t="shared" ref="H207:H212" si="8">G207*F207</f>
        <v>1920</v>
      </c>
    </row>
    <row r="208" s="83" customFormat="1" ht="20.1" customHeight="1" spans="1:9">
      <c r="A208" s="89"/>
      <c r="B208" s="112">
        <v>1.01999998092651</v>
      </c>
      <c r="C208" s="113" t="s">
        <v>436</v>
      </c>
      <c r="D208" s="112" t="s">
        <v>437</v>
      </c>
      <c r="E208" s="112" t="s">
        <v>816</v>
      </c>
      <c r="F208" s="112">
        <v>8</v>
      </c>
      <c r="G208" s="126">
        <f>'Basic Rates'!$E$118</f>
        <v>275</v>
      </c>
      <c r="H208" s="115">
        <f t="shared" si="8"/>
        <v>2200</v>
      </c>
      <c r="I208" s="128"/>
    </row>
    <row r="209" s="84" customFormat="1" ht="20.1" customHeight="1" spans="1:8">
      <c r="A209" s="89"/>
      <c r="B209" s="112">
        <v>1.02999997138977</v>
      </c>
      <c r="C209" s="113" t="s">
        <v>28</v>
      </c>
      <c r="D209" s="112" t="s">
        <v>433</v>
      </c>
      <c r="E209" s="112" t="s">
        <v>638</v>
      </c>
      <c r="F209" s="112">
        <v>0.05</v>
      </c>
      <c r="G209" s="114">
        <f>'Basic Rates'!$E$116</f>
        <v>18000</v>
      </c>
      <c r="H209" s="115">
        <f t="shared" si="8"/>
        <v>900</v>
      </c>
    </row>
    <row r="210" s="85" customFormat="1" ht="20.1" customHeight="1" spans="1:8">
      <c r="A210" s="89"/>
      <c r="B210" s="112">
        <v>1.03999996185303</v>
      </c>
      <c r="C210" s="113" t="s">
        <v>36</v>
      </c>
      <c r="D210" s="112" t="s">
        <v>525</v>
      </c>
      <c r="E210" s="112" t="s">
        <v>173</v>
      </c>
      <c r="F210" s="112">
        <v>5</v>
      </c>
      <c r="G210" s="114">
        <f>'Basic Rates'!$E$161</f>
        <v>0.3</v>
      </c>
      <c r="H210" s="115">
        <f t="shared" si="8"/>
        <v>1.5</v>
      </c>
    </row>
    <row r="211" ht="20.1" customHeight="1" spans="2:8">
      <c r="B211" s="112">
        <v>1.04999995231628</v>
      </c>
      <c r="C211" s="113" t="s">
        <v>217</v>
      </c>
      <c r="D211" s="112" t="s">
        <v>218</v>
      </c>
      <c r="E211" s="455" t="s">
        <v>175</v>
      </c>
      <c r="F211" s="112">
        <v>2</v>
      </c>
      <c r="G211" s="114">
        <f>'Basic Rates'!$J$12</f>
        <v>3500</v>
      </c>
      <c r="H211" s="115">
        <f t="shared" si="8"/>
        <v>7000</v>
      </c>
    </row>
    <row r="212" ht="20.1" customHeight="1" spans="2:8">
      <c r="B212" s="112">
        <v>1.05999994277954</v>
      </c>
      <c r="C212" s="113" t="s">
        <v>208</v>
      </c>
      <c r="D212" s="112" t="s">
        <v>209</v>
      </c>
      <c r="E212" s="112" t="s">
        <v>175</v>
      </c>
      <c r="F212" s="112">
        <v>2</v>
      </c>
      <c r="G212" s="114">
        <f>'Basic Rates'!$J$10</f>
        <v>2300</v>
      </c>
      <c r="H212" s="115">
        <f t="shared" si="8"/>
        <v>4600</v>
      </c>
    </row>
    <row r="213" ht="20.1" customHeight="1" spans="2:8">
      <c r="B213" s="112">
        <v>1.07000005245209</v>
      </c>
      <c r="C213" s="113" t="s">
        <v>675</v>
      </c>
      <c r="D213" s="455" t="s">
        <v>676</v>
      </c>
      <c r="E213" s="455" t="s">
        <v>676</v>
      </c>
      <c r="F213" s="455" t="s">
        <v>676</v>
      </c>
      <c r="G213" s="455" t="s">
        <v>676</v>
      </c>
      <c r="H213" s="115">
        <f>(H211+H212)*3/100</f>
        <v>348</v>
      </c>
    </row>
    <row r="214" ht="20.45" customHeight="1" spans="2:8">
      <c r="B214" s="129"/>
      <c r="C214" s="129"/>
      <c r="D214" s="116" t="s">
        <v>579</v>
      </c>
      <c r="E214" s="117">
        <f>F205</f>
        <v>1</v>
      </c>
      <c r="F214" s="117" t="str">
        <f>$G$14</f>
        <v>Sqr</v>
      </c>
      <c r="G214" s="118"/>
      <c r="H214" s="115">
        <f>SUM(H208:H213)</f>
        <v>15049.5</v>
      </c>
    </row>
    <row r="215" ht="20.45" customHeight="1" spans="2:8">
      <c r="B215" s="129"/>
      <c r="C215" s="129"/>
      <c r="D215" s="116" t="s">
        <v>580</v>
      </c>
      <c r="E215" s="117" t="str">
        <f>$G$14</f>
        <v>Sqr</v>
      </c>
      <c r="F215" s="117"/>
      <c r="G215" s="118"/>
      <c r="H215" s="115">
        <f>H214/E214</f>
        <v>15049.5</v>
      </c>
    </row>
    <row r="216" ht="20.1" customHeight="1" spans="1:8">
      <c r="A216" s="93"/>
      <c r="B216" s="125"/>
      <c r="C216" s="125"/>
      <c r="D216" s="124" t="s">
        <v>581</v>
      </c>
      <c r="E216" s="121"/>
      <c r="F216" s="136"/>
      <c r="G216" s="122" t="s">
        <v>784</v>
      </c>
      <c r="H216" s="123">
        <f>ROUND(H215,0)</f>
        <v>15050</v>
      </c>
    </row>
    <row r="217" ht="20.1" customHeight="1" spans="1:8">
      <c r="A217" s="88"/>
      <c r="B217" s="88"/>
      <c r="C217" s="88"/>
      <c r="D217" s="124" t="s">
        <v>581</v>
      </c>
      <c r="E217" s="121"/>
      <c r="F217" s="136"/>
      <c r="G217" s="122" t="s">
        <v>785</v>
      </c>
      <c r="H217" s="123">
        <f>H216/100</f>
        <v>150.5</v>
      </c>
    </row>
    <row r="218" ht="20.1" customHeight="1" spans="1:8">
      <c r="A218" s="88"/>
      <c r="B218" s="88"/>
      <c r="C218" s="88"/>
      <c r="D218" s="124" t="s">
        <v>581</v>
      </c>
      <c r="E218" s="121"/>
      <c r="F218" s="136"/>
      <c r="G218" s="122" t="s">
        <v>758</v>
      </c>
      <c r="H218" s="123">
        <f>H217*10.76</f>
        <v>1619.38</v>
      </c>
    </row>
    <row r="219" s="4" customFormat="1" ht="20.1" customHeight="1" spans="1:8">
      <c r="A219" s="42"/>
      <c r="B219" s="42"/>
      <c r="D219" s="48" t="s">
        <v>746</v>
      </c>
      <c r="E219" s="49"/>
      <c r="F219" s="49"/>
      <c r="G219" s="122" t="s">
        <v>758</v>
      </c>
      <c r="H219" s="47">
        <f>H218</f>
        <v>1619.38</v>
      </c>
    </row>
    <row r="220" s="4" customFormat="1" ht="20.1" customHeight="1" spans="1:8">
      <c r="A220" s="42"/>
      <c r="B220" s="42"/>
      <c r="D220" s="48" t="s">
        <v>747</v>
      </c>
      <c r="E220" s="49"/>
      <c r="F220" s="49"/>
      <c r="G220" s="122" t="s">
        <v>758</v>
      </c>
      <c r="H220" s="47">
        <f>H219*1.1</f>
        <v>1781.318</v>
      </c>
    </row>
    <row r="221" s="4" customFormat="1" ht="20.1" customHeight="1" spans="1:8">
      <c r="A221" s="42"/>
      <c r="B221" s="42"/>
      <c r="D221" s="48" t="s">
        <v>748</v>
      </c>
      <c r="E221" s="49"/>
      <c r="F221" s="49"/>
      <c r="G221" s="122" t="s">
        <v>758</v>
      </c>
      <c r="H221" s="47">
        <f>H220*1.1</f>
        <v>1959.4498</v>
      </c>
    </row>
    <row r="222" s="4" customFormat="1" ht="20.1" customHeight="1" spans="1:8">
      <c r="A222" s="42"/>
      <c r="B222" s="42"/>
      <c r="D222" s="48" t="s">
        <v>749</v>
      </c>
      <c r="E222" s="49"/>
      <c r="F222" s="49"/>
      <c r="G222" s="122" t="s">
        <v>758</v>
      </c>
      <c r="H222" s="47">
        <f>H221*1.1</f>
        <v>2155.39478</v>
      </c>
    </row>
    <row r="223" ht="20.45" customHeight="1" spans="1:8">
      <c r="A223" s="93"/>
      <c r="B223" s="93"/>
      <c r="C223" s="93"/>
      <c r="D223" s="94"/>
      <c r="E223" s="95"/>
      <c r="F223" s="95"/>
      <c r="G223" s="96"/>
      <c r="H223" s="97"/>
    </row>
    <row r="224" s="1" customFormat="1" ht="20.25" customHeight="1" spans="1:9">
      <c r="A224" s="19"/>
      <c r="B224" s="20"/>
      <c r="C224" s="21"/>
      <c r="D224" s="22" t="s">
        <v>1095</v>
      </c>
      <c r="E224" s="21"/>
      <c r="F224" s="21"/>
      <c r="G224" s="23"/>
      <c r="H224" s="24"/>
      <c r="I224" s="56"/>
    </row>
    <row r="225" s="6" customFormat="1" ht="9" customHeight="1" spans="4:8">
      <c r="D225" s="7"/>
      <c r="E225" s="7"/>
      <c r="F225" s="7"/>
      <c r="G225" s="8"/>
      <c r="H225" s="9"/>
    </row>
    <row r="226" s="83" customFormat="1" ht="25.5" customHeight="1" spans="1:9">
      <c r="A226" s="105" t="s">
        <v>1125</v>
      </c>
      <c r="B226" s="105"/>
      <c r="C226" s="106" t="s">
        <v>1126</v>
      </c>
      <c r="D226" s="106"/>
      <c r="E226" s="106"/>
      <c r="F226" s="106"/>
      <c r="G226" s="106"/>
      <c r="H226" s="106"/>
      <c r="I226" s="128"/>
    </row>
    <row r="227" s="84" customFormat="1" ht="13.5" customHeight="1" spans="4:8">
      <c r="D227" s="107"/>
      <c r="E227" s="108" t="s">
        <v>570</v>
      </c>
      <c r="F227" s="107">
        <v>10</v>
      </c>
      <c r="G227" s="108" t="s">
        <v>308</v>
      </c>
      <c r="H227" s="109"/>
    </row>
    <row r="228" ht="20.45" customHeight="1" spans="1:8">
      <c r="A228" s="85"/>
      <c r="B228" s="110" t="s">
        <v>194</v>
      </c>
      <c r="C228" s="110" t="s">
        <v>573</v>
      </c>
      <c r="D228" s="110" t="s">
        <v>574</v>
      </c>
      <c r="E228" s="110" t="s">
        <v>6</v>
      </c>
      <c r="F228" s="110" t="s">
        <v>575</v>
      </c>
      <c r="G228" s="110" t="s">
        <v>576</v>
      </c>
      <c r="H228" s="111" t="s">
        <v>577</v>
      </c>
    </row>
    <row r="229" s="81" customFormat="1" ht="20.1" customHeight="1" spans="1:11">
      <c r="A229" s="89"/>
      <c r="B229" s="112">
        <v>1.00999999046326</v>
      </c>
      <c r="C229" s="113" t="s">
        <v>24</v>
      </c>
      <c r="D229" s="112" t="s">
        <v>253</v>
      </c>
      <c r="E229" s="455" t="s">
        <v>254</v>
      </c>
      <c r="F229" s="112">
        <v>0.1</v>
      </c>
      <c r="G229" s="114">
        <f>'Basic Rates'!$E$29</f>
        <v>2400</v>
      </c>
      <c r="H229" s="115">
        <f>G229*F229</f>
        <v>240</v>
      </c>
      <c r="K229" s="132"/>
    </row>
    <row r="230" s="81" customFormat="1" ht="20.1" customHeight="1" spans="1:8">
      <c r="A230" s="89"/>
      <c r="B230" s="112">
        <f>B229+0.01</f>
        <v>1.01999999046326</v>
      </c>
      <c r="C230" s="113" t="s">
        <v>28</v>
      </c>
      <c r="D230" s="112" t="s">
        <v>433</v>
      </c>
      <c r="E230" s="455" t="s">
        <v>638</v>
      </c>
      <c r="F230" s="112">
        <v>0.003</v>
      </c>
      <c r="G230" s="114">
        <f>'Basic Rates'!$E$116</f>
        <v>18000</v>
      </c>
      <c r="H230" s="115">
        <f>G230*F230</f>
        <v>54</v>
      </c>
    </row>
    <row r="231" s="83" customFormat="1" ht="20.1" customHeight="1" spans="1:9">
      <c r="A231" s="89"/>
      <c r="B231" s="112">
        <f>B230+0.01</f>
        <v>1.02999999046326</v>
      </c>
      <c r="C231" s="113" t="s">
        <v>271</v>
      </c>
      <c r="D231" s="112" t="s">
        <v>272</v>
      </c>
      <c r="E231" s="112" t="s">
        <v>199</v>
      </c>
      <c r="F231" s="112">
        <v>0.25</v>
      </c>
      <c r="G231" s="114">
        <f>'Basic Rates'!$E$38</f>
        <v>175</v>
      </c>
      <c r="H231" s="115">
        <f>G231*F231</f>
        <v>43.75</v>
      </c>
      <c r="I231" s="128"/>
    </row>
    <row r="232" s="84" customFormat="1" ht="20.1" customHeight="1" spans="1:8">
      <c r="A232" s="89"/>
      <c r="B232" s="112">
        <f>B231+0.01</f>
        <v>1.03999999046326</v>
      </c>
      <c r="C232" s="113" t="s">
        <v>217</v>
      </c>
      <c r="D232" s="112" t="s">
        <v>218</v>
      </c>
      <c r="E232" s="112" t="s">
        <v>175</v>
      </c>
      <c r="F232" s="112">
        <v>0.375</v>
      </c>
      <c r="G232" s="114">
        <f>'Basic Rates'!$J$12</f>
        <v>3500</v>
      </c>
      <c r="H232" s="115">
        <f>G232*F232</f>
        <v>1312.5</v>
      </c>
    </row>
    <row r="233" s="85" customFormat="1" ht="20.1" customHeight="1" spans="1:8">
      <c r="A233" s="89"/>
      <c r="B233" s="112">
        <f>B232+0.01</f>
        <v>1.04999999046326</v>
      </c>
      <c r="C233" s="113" t="s">
        <v>208</v>
      </c>
      <c r="D233" s="112" t="s">
        <v>209</v>
      </c>
      <c r="E233" s="455" t="s">
        <v>175</v>
      </c>
      <c r="F233" s="112">
        <v>0.312</v>
      </c>
      <c r="G233" s="114">
        <f>'Basic Rates'!$J$10</f>
        <v>2300</v>
      </c>
      <c r="H233" s="115">
        <f>G233*F233</f>
        <v>717.6</v>
      </c>
    </row>
    <row r="234" ht="20.1" customHeight="1" spans="2:8">
      <c r="B234" s="129"/>
      <c r="C234" s="129"/>
      <c r="D234" s="116" t="s">
        <v>579</v>
      </c>
      <c r="E234" s="117">
        <f>$F$227</f>
        <v>10</v>
      </c>
      <c r="F234" s="117" t="str">
        <f>$G$227</f>
        <v>L.ft</v>
      </c>
      <c r="G234" s="118"/>
      <c r="H234" s="115">
        <f>SUM(H227:H233)</f>
        <v>2367.85</v>
      </c>
    </row>
    <row r="235" ht="20.1" customHeight="1" spans="2:8">
      <c r="B235" s="129"/>
      <c r="C235" s="129"/>
      <c r="D235" s="116" t="s">
        <v>580</v>
      </c>
      <c r="E235" s="117" t="str">
        <f>$G$227</f>
        <v>L.ft</v>
      </c>
      <c r="F235" s="117"/>
      <c r="G235" s="118"/>
      <c r="H235" s="115">
        <f>H234/E234</f>
        <v>236.785</v>
      </c>
    </row>
    <row r="236" ht="20.45" customHeight="1" spans="1:8">
      <c r="A236" s="93"/>
      <c r="B236" s="125"/>
      <c r="C236" s="125"/>
      <c r="D236" s="124" t="s">
        <v>581</v>
      </c>
      <c r="E236" s="121"/>
      <c r="F236" s="121"/>
      <c r="G236" s="122" t="s">
        <v>1127</v>
      </c>
      <c r="H236" s="123">
        <f>ROUND(H235,0)</f>
        <v>237</v>
      </c>
    </row>
    <row r="237" ht="20.45" customHeight="1" spans="4:8">
      <c r="D237" s="124" t="s">
        <v>581</v>
      </c>
      <c r="E237" s="121"/>
      <c r="F237" s="121"/>
      <c r="G237" s="122" t="s">
        <v>873</v>
      </c>
      <c r="H237" s="123">
        <f>H236*3.28</f>
        <v>777.36</v>
      </c>
    </row>
    <row r="238" s="4" customFormat="1" ht="20.1" customHeight="1" spans="1:8">
      <c r="A238" s="42"/>
      <c r="B238" s="42"/>
      <c r="D238" s="48" t="s">
        <v>746</v>
      </c>
      <c r="E238" s="49"/>
      <c r="F238" s="49"/>
      <c r="G238" s="122" t="s">
        <v>873</v>
      </c>
      <c r="H238" s="47">
        <f>H237</f>
        <v>777.36</v>
      </c>
    </row>
    <row r="239" s="4" customFormat="1" ht="20.1" customHeight="1" spans="1:8">
      <c r="A239" s="42"/>
      <c r="B239" s="42"/>
      <c r="D239" s="48" t="s">
        <v>827</v>
      </c>
      <c r="E239" s="49"/>
      <c r="F239" s="49"/>
      <c r="G239" s="122" t="s">
        <v>873</v>
      </c>
      <c r="H239" s="47">
        <f>H238*1.1</f>
        <v>855.096</v>
      </c>
    </row>
    <row r="240" s="4" customFormat="1" ht="20.1" customHeight="1" spans="1:8">
      <c r="A240" s="42"/>
      <c r="B240" s="42"/>
      <c r="D240" s="48" t="s">
        <v>748</v>
      </c>
      <c r="E240" s="49"/>
      <c r="F240" s="49"/>
      <c r="G240" s="122" t="s">
        <v>873</v>
      </c>
      <c r="H240" s="47">
        <f>H239*1.1</f>
        <v>940.6056</v>
      </c>
    </row>
    <row r="241" s="4" customFormat="1" ht="20.1" customHeight="1" spans="1:8">
      <c r="A241" s="42"/>
      <c r="B241" s="42"/>
      <c r="D241" s="140" t="s">
        <v>828</v>
      </c>
      <c r="E241" s="49"/>
      <c r="F241" s="141"/>
      <c r="G241" s="122" t="s">
        <v>873</v>
      </c>
      <c r="H241" s="47">
        <f>H240*1.1</f>
        <v>1034.66616</v>
      </c>
    </row>
    <row r="242" ht="20.45" customHeight="1" spans="1:8">
      <c r="A242" s="93"/>
      <c r="B242" s="93"/>
      <c r="C242" s="93"/>
      <c r="D242" s="94"/>
      <c r="E242" s="95"/>
      <c r="F242" s="95"/>
      <c r="G242" s="96"/>
      <c r="H242" s="97"/>
    </row>
    <row r="243" spans="1:8">
      <c r="A243" s="93"/>
      <c r="B243" s="93"/>
      <c r="C243" s="93"/>
      <c r="D243" s="94"/>
      <c r="E243" s="95"/>
      <c r="F243" s="95"/>
      <c r="G243" s="96"/>
      <c r="H243" s="97"/>
    </row>
  </sheetData>
  <mergeCells count="27">
    <mergeCell ref="A2:H2"/>
    <mergeCell ref="A13:B13"/>
    <mergeCell ref="C13:H13"/>
    <mergeCell ref="A28:B28"/>
    <mergeCell ref="C28:H28"/>
    <mergeCell ref="A46:B46"/>
    <mergeCell ref="C46:H46"/>
    <mergeCell ref="A66:B66"/>
    <mergeCell ref="C66:H66"/>
    <mergeCell ref="A86:B86"/>
    <mergeCell ref="C86:H86"/>
    <mergeCell ref="A103:B103"/>
    <mergeCell ref="C103:H103"/>
    <mergeCell ref="A122:B122"/>
    <mergeCell ref="C122:H122"/>
    <mergeCell ref="A136:B136"/>
    <mergeCell ref="C136:H136"/>
    <mergeCell ref="A151:B151"/>
    <mergeCell ref="C151:H151"/>
    <mergeCell ref="A166:B166"/>
    <mergeCell ref="C166:H166"/>
    <mergeCell ref="A184:B184"/>
    <mergeCell ref="C184:H184"/>
    <mergeCell ref="A204:B204"/>
    <mergeCell ref="C204:H204"/>
    <mergeCell ref="A226:B226"/>
    <mergeCell ref="C226:H226"/>
  </mergeCells>
  <hyperlinks>
    <hyperlink ref="C4" location="'13'!I15" display="Wall Plastering"/>
    <hyperlink ref="C5" location="'13'!I110" display="Rendering"/>
    <hyperlink ref="C6" location="'13'!I192" display="Sofit Plastering"/>
    <hyperlink ref="C7" location="'13'!I233" display="Skirting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7"/>
  </sheetPr>
  <dimension ref="A2:K72"/>
  <sheetViews>
    <sheetView tabSelected="1" workbookViewId="0">
      <selection activeCell="E16" sqref="E16"/>
    </sheetView>
  </sheetViews>
  <sheetFormatPr defaultColWidth="9" defaultRowHeight="12.75"/>
  <cols>
    <col min="1" max="1" width="3.28571428571429" style="70" customWidth="1"/>
    <col min="2" max="2" width="5.42857142857143" style="70" customWidth="1"/>
    <col min="3" max="3" width="28.1428571428571" style="70" customWidth="1"/>
    <col min="4" max="4" width="8.14285714285714" style="70" customWidth="1"/>
    <col min="5" max="6" width="8" style="70" customWidth="1"/>
    <col min="7" max="7" width="9.14285714285714" style="70"/>
    <col min="8" max="8" width="12.8571428571429" style="71" customWidth="1"/>
    <col min="9" max="16384" width="9.14285714285714" style="70"/>
  </cols>
  <sheetData>
    <row r="2" s="6" customFormat="1" ht="20.1" customHeight="1" spans="1:9">
      <c r="A2" s="72" t="s">
        <v>1128</v>
      </c>
      <c r="B2" s="72"/>
      <c r="C2" s="72"/>
      <c r="D2" s="72"/>
      <c r="E2" s="72"/>
      <c r="F2" s="72"/>
      <c r="G2" s="72"/>
      <c r="H2" s="72"/>
      <c r="I2" s="54"/>
    </row>
    <row r="3" s="6" customFormat="1" ht="21" customHeight="1" spans="4:8">
      <c r="D3" s="7"/>
      <c r="E3" s="7"/>
      <c r="F3" s="7"/>
      <c r="G3" s="8"/>
      <c r="H3" s="9"/>
    </row>
    <row r="4" s="2" customFormat="1" ht="39" customHeight="1" spans="1:9">
      <c r="A4" s="73">
        <v>15.01</v>
      </c>
      <c r="B4" s="74"/>
      <c r="C4" s="30" t="s">
        <v>1129</v>
      </c>
      <c r="D4" s="30"/>
      <c r="E4" s="30"/>
      <c r="F4" s="30"/>
      <c r="G4" s="30"/>
      <c r="H4" s="30"/>
      <c r="I4" s="57"/>
    </row>
    <row r="5" s="3" customFormat="1" ht="18" customHeight="1" spans="4:8">
      <c r="D5" s="31"/>
      <c r="E5" s="32" t="s">
        <v>570</v>
      </c>
      <c r="F5" s="31">
        <v>1.95</v>
      </c>
      <c r="G5" s="32" t="s">
        <v>592</v>
      </c>
      <c r="H5" s="33"/>
    </row>
    <row r="6" s="6" customFormat="1" ht="15" customHeight="1" spans="2:8">
      <c r="B6" s="34" t="s">
        <v>194</v>
      </c>
      <c r="C6" s="34" t="s">
        <v>573</v>
      </c>
      <c r="D6" s="34" t="s">
        <v>574</v>
      </c>
      <c r="E6" s="34" t="s">
        <v>6</v>
      </c>
      <c r="F6" s="34" t="s">
        <v>575</v>
      </c>
      <c r="G6" s="34" t="s">
        <v>576</v>
      </c>
      <c r="H6" s="35" t="s">
        <v>577</v>
      </c>
    </row>
    <row r="7" s="6" customFormat="1" ht="20.45" customHeight="1" spans="2:8">
      <c r="B7" s="34">
        <v>1.00999999046326</v>
      </c>
      <c r="C7" s="36" t="s">
        <v>479</v>
      </c>
      <c r="D7" s="34" t="s">
        <v>480</v>
      </c>
      <c r="E7" s="457" t="s">
        <v>481</v>
      </c>
      <c r="F7" s="34">
        <v>8</v>
      </c>
      <c r="G7" s="75">
        <f>'Basic Rates'!E139</f>
        <v>1200</v>
      </c>
      <c r="H7" s="38">
        <f t="shared" ref="H7:H16" si="0">G7*F7</f>
        <v>9600</v>
      </c>
    </row>
    <row r="8" s="6" customFormat="1" ht="20.45" customHeight="1" spans="2:8">
      <c r="B8" s="34">
        <v>1.01999998092651</v>
      </c>
      <c r="C8" s="36" t="s">
        <v>919</v>
      </c>
      <c r="D8" s="34" t="s">
        <v>351</v>
      </c>
      <c r="E8" s="457" t="s">
        <v>199</v>
      </c>
      <c r="F8" s="34">
        <v>1</v>
      </c>
      <c r="G8" s="75">
        <f>'Basic Rates'!E75</f>
        <v>50</v>
      </c>
      <c r="H8" s="38">
        <f t="shared" si="0"/>
        <v>50</v>
      </c>
    </row>
    <row r="9" s="6" customFormat="1" ht="20.45" customHeight="1" spans="2:8">
      <c r="B9" s="34">
        <v>1.02999997138977</v>
      </c>
      <c r="C9" s="36" t="s">
        <v>293</v>
      </c>
      <c r="D9" s="34" t="s">
        <v>294</v>
      </c>
      <c r="E9" s="34" t="s">
        <v>194</v>
      </c>
      <c r="F9" s="34">
        <v>26</v>
      </c>
      <c r="G9" s="75">
        <f>'Basic Rates'!E48</f>
        <v>1.5</v>
      </c>
      <c r="H9" s="38">
        <f t="shared" si="0"/>
        <v>39</v>
      </c>
    </row>
    <row r="10" s="6" customFormat="1" ht="20.45" customHeight="1" spans="2:8">
      <c r="B10" s="34">
        <v>1.03999996185303</v>
      </c>
      <c r="C10" s="36" t="s">
        <v>24</v>
      </c>
      <c r="D10" s="76" t="s">
        <v>253</v>
      </c>
      <c r="E10" s="34" t="s">
        <v>254</v>
      </c>
      <c r="F10" s="34">
        <v>0.23</v>
      </c>
      <c r="G10" s="77">
        <f>'Basic Rates'!$E$29</f>
        <v>2400</v>
      </c>
      <c r="H10" s="38">
        <f t="shared" si="0"/>
        <v>552</v>
      </c>
    </row>
    <row r="11" s="6" customFormat="1" ht="20.45" customHeight="1" spans="2:8">
      <c r="B11" s="34">
        <v>1.04999995231628</v>
      </c>
      <c r="C11" s="36" t="s">
        <v>28</v>
      </c>
      <c r="D11" s="76" t="s">
        <v>433</v>
      </c>
      <c r="E11" s="457" t="s">
        <v>638</v>
      </c>
      <c r="F11" s="34">
        <v>0.02</v>
      </c>
      <c r="G11" s="77">
        <f>'Basic Rates'!$E$116</f>
        <v>18000</v>
      </c>
      <c r="H11" s="38">
        <f t="shared" si="0"/>
        <v>360</v>
      </c>
    </row>
    <row r="12" s="6" customFormat="1" ht="24.95" customHeight="1" spans="2:8">
      <c r="B12" s="34">
        <v>1.05999994277954</v>
      </c>
      <c r="C12" s="36" t="s">
        <v>245</v>
      </c>
      <c r="D12" s="34" t="s">
        <v>246</v>
      </c>
      <c r="E12" s="457" t="s">
        <v>194</v>
      </c>
      <c r="F12" s="34">
        <v>0.25</v>
      </c>
      <c r="G12" s="75">
        <f>'Basic Rates'!E25</f>
        <v>900</v>
      </c>
      <c r="H12" s="38">
        <f t="shared" si="0"/>
        <v>225</v>
      </c>
    </row>
    <row r="13" s="6" customFormat="1" ht="24.95" customHeight="1" spans="2:8">
      <c r="B13" s="34">
        <v>1.07000005245209</v>
      </c>
      <c r="C13" s="36" t="s">
        <v>445</v>
      </c>
      <c r="D13" s="34" t="s">
        <v>446</v>
      </c>
      <c r="E13" s="457" t="s">
        <v>173</v>
      </c>
      <c r="F13" s="34">
        <v>0.333</v>
      </c>
      <c r="G13" s="75">
        <f>'Basic Rates'!E122</f>
        <v>450</v>
      </c>
      <c r="H13" s="38">
        <f t="shared" si="0"/>
        <v>149.85</v>
      </c>
    </row>
    <row r="14" s="6" customFormat="1" ht="20.45" customHeight="1" spans="2:8">
      <c r="B14" s="34">
        <v>1.08000004291534</v>
      </c>
      <c r="C14" s="36" t="s">
        <v>76</v>
      </c>
      <c r="D14" s="34" t="s">
        <v>213</v>
      </c>
      <c r="E14" s="457" t="s">
        <v>175</v>
      </c>
      <c r="F14" s="34">
        <v>2.5</v>
      </c>
      <c r="G14" s="75">
        <f>'Basic Rates'!$J$11</f>
        <v>3500</v>
      </c>
      <c r="H14" s="38">
        <f t="shared" si="0"/>
        <v>8750</v>
      </c>
    </row>
    <row r="15" s="6" customFormat="1" ht="20.45" customHeight="1" spans="2:8">
      <c r="B15" s="34">
        <v>1.0900000333786</v>
      </c>
      <c r="C15" s="36" t="s">
        <v>217</v>
      </c>
      <c r="D15" s="76" t="s">
        <v>218</v>
      </c>
      <c r="E15" s="457" t="s">
        <v>175</v>
      </c>
      <c r="F15" s="34">
        <v>0.5</v>
      </c>
      <c r="G15" s="77">
        <f>'Basic Rates'!$J$12</f>
        <v>3500</v>
      </c>
      <c r="H15" s="38">
        <f t="shared" si="0"/>
        <v>1750</v>
      </c>
    </row>
    <row r="16" s="6" customFormat="1" ht="20.45" customHeight="1" spans="2:8">
      <c r="B16" s="68">
        <v>1.10000002384186</v>
      </c>
      <c r="C16" s="36" t="s">
        <v>208</v>
      </c>
      <c r="D16" s="76" t="s">
        <v>209</v>
      </c>
      <c r="E16" s="34" t="s">
        <v>175</v>
      </c>
      <c r="F16" s="34">
        <v>1.5</v>
      </c>
      <c r="G16" s="77">
        <f>'Basic Rates'!$J$10</f>
        <v>2300</v>
      </c>
      <c r="H16" s="38">
        <f t="shared" si="0"/>
        <v>3450</v>
      </c>
    </row>
    <row r="17" s="6" customFormat="1" ht="31.5" customHeight="1" spans="2:8">
      <c r="B17" s="34">
        <v>1.11000001430511</v>
      </c>
      <c r="C17" s="36" t="s">
        <v>1130</v>
      </c>
      <c r="D17" s="457" t="s">
        <v>676</v>
      </c>
      <c r="E17" s="457" t="s">
        <v>676</v>
      </c>
      <c r="F17" s="457" t="s">
        <v>676</v>
      </c>
      <c r="G17" s="457" t="s">
        <v>676</v>
      </c>
      <c r="H17" s="38">
        <f>(H14+H15+H16)*3/100</f>
        <v>418.5</v>
      </c>
    </row>
    <row r="18" s="6" customFormat="1" ht="20.45" customHeight="1" spans="2:8">
      <c r="B18" s="61"/>
      <c r="C18" s="61"/>
      <c r="D18" s="39" t="s">
        <v>579</v>
      </c>
      <c r="E18" s="40">
        <f>$F$5</f>
        <v>1.95</v>
      </c>
      <c r="F18" s="40" t="str">
        <f>$G$5</f>
        <v>Sqrs</v>
      </c>
      <c r="G18" s="41"/>
      <c r="H18" s="38">
        <f>SUM(H7:H17)</f>
        <v>25344.35</v>
      </c>
    </row>
    <row r="19" s="6" customFormat="1" ht="20.45" customHeight="1" spans="2:8">
      <c r="B19" s="61"/>
      <c r="C19" s="61"/>
      <c r="D19" s="39" t="s">
        <v>580</v>
      </c>
      <c r="E19" s="40" t="str">
        <f>$G$5</f>
        <v>Sqrs</v>
      </c>
      <c r="F19" s="40"/>
      <c r="G19" s="41"/>
      <c r="H19" s="38">
        <f>H18/F5</f>
        <v>12997.1025641026</v>
      </c>
    </row>
    <row r="20" s="4" customFormat="1" ht="15" customHeight="1" spans="1:11">
      <c r="A20" s="42"/>
      <c r="B20" s="43"/>
      <c r="C20" s="43"/>
      <c r="D20" s="44" t="s">
        <v>581</v>
      </c>
      <c r="E20" s="45"/>
      <c r="F20" s="45"/>
      <c r="G20" s="78"/>
      <c r="H20" s="79">
        <f>ROUND(H19,0)</f>
        <v>12997</v>
      </c>
      <c r="K20" s="58"/>
    </row>
    <row r="21" s="4" customFormat="1" ht="30.6" customHeight="1" spans="1:8">
      <c r="A21" s="42"/>
      <c r="B21" s="42"/>
      <c r="C21" s="42"/>
      <c r="D21" s="50"/>
      <c r="E21" s="51"/>
      <c r="F21" s="51"/>
      <c r="G21" s="52"/>
      <c r="H21" s="53"/>
    </row>
    <row r="22" s="2" customFormat="1" ht="39" customHeight="1" spans="1:9">
      <c r="A22" s="73">
        <v>15.02</v>
      </c>
      <c r="B22" s="74"/>
      <c r="C22" s="30" t="s">
        <v>1131</v>
      </c>
      <c r="D22" s="30"/>
      <c r="E22" s="30"/>
      <c r="F22" s="30"/>
      <c r="G22" s="30"/>
      <c r="H22" s="30"/>
      <c r="I22" s="57"/>
    </row>
    <row r="23" s="3" customFormat="1" ht="18" customHeight="1" spans="4:8">
      <c r="D23" s="31"/>
      <c r="E23" s="32" t="s">
        <v>570</v>
      </c>
      <c r="F23" s="31">
        <v>1.95</v>
      </c>
      <c r="G23" s="32" t="s">
        <v>592</v>
      </c>
      <c r="H23" s="33"/>
    </row>
    <row r="24" s="6" customFormat="1" ht="15" customHeight="1" spans="2:8">
      <c r="B24" s="34" t="s">
        <v>194</v>
      </c>
      <c r="C24" s="34" t="s">
        <v>573</v>
      </c>
      <c r="D24" s="34" t="s">
        <v>574</v>
      </c>
      <c r="E24" s="34" t="s">
        <v>6</v>
      </c>
      <c r="F24" s="34" t="s">
        <v>575</v>
      </c>
      <c r="G24" s="34" t="s">
        <v>576</v>
      </c>
      <c r="H24" s="35" t="s">
        <v>577</v>
      </c>
    </row>
    <row r="25" s="6" customFormat="1" ht="20.45" customHeight="1" spans="2:8">
      <c r="B25" s="34">
        <v>1.00999999046326</v>
      </c>
      <c r="C25" s="36" t="s">
        <v>1132</v>
      </c>
      <c r="D25" s="34" t="s">
        <v>301</v>
      </c>
      <c r="E25" s="457" t="s">
        <v>187</v>
      </c>
      <c r="F25" s="34">
        <v>210</v>
      </c>
      <c r="G25" s="75">
        <f>'Basic Rates'!E51</f>
        <v>15</v>
      </c>
      <c r="H25" s="38">
        <f t="shared" ref="H25:H31" si="1">G25*F25</f>
        <v>3150</v>
      </c>
    </row>
    <row r="26" s="6" customFormat="1" ht="20.45" customHeight="1" spans="2:8">
      <c r="B26" s="34">
        <v>1.01999998092651</v>
      </c>
      <c r="C26" s="36" t="s">
        <v>1133</v>
      </c>
      <c r="D26" s="34" t="s">
        <v>502</v>
      </c>
      <c r="E26" s="457" t="s">
        <v>187</v>
      </c>
      <c r="F26" s="34">
        <v>60</v>
      </c>
      <c r="G26" s="75">
        <f>'Basic Rates'!E149</f>
        <v>35</v>
      </c>
      <c r="H26" s="38">
        <f t="shared" si="1"/>
        <v>2100</v>
      </c>
    </row>
    <row r="27" s="6" customFormat="1" ht="20.45" customHeight="1" spans="2:8">
      <c r="B27" s="34">
        <v>1.02999997138977</v>
      </c>
      <c r="C27" s="36" t="s">
        <v>1134</v>
      </c>
      <c r="D27" s="34" t="s">
        <v>476</v>
      </c>
      <c r="E27" s="34" t="s">
        <v>308</v>
      </c>
      <c r="F27" s="34">
        <v>125</v>
      </c>
      <c r="G27" s="75">
        <f>'Basic Rates'!E137</f>
        <v>12</v>
      </c>
      <c r="H27" s="38">
        <f t="shared" si="1"/>
        <v>1500</v>
      </c>
    </row>
    <row r="28" s="6" customFormat="1" ht="20.45" customHeight="1" spans="2:8">
      <c r="B28" s="34">
        <v>1.03999996185303</v>
      </c>
      <c r="C28" s="36" t="s">
        <v>1135</v>
      </c>
      <c r="D28" s="34" t="s">
        <v>268</v>
      </c>
      <c r="E28" s="34" t="s">
        <v>621</v>
      </c>
      <c r="F28" s="34">
        <v>0.25</v>
      </c>
      <c r="G28" s="75">
        <f>'Basic Rates'!E36</f>
        <v>25</v>
      </c>
      <c r="H28" s="38">
        <f t="shared" si="1"/>
        <v>6.25</v>
      </c>
    </row>
    <row r="29" s="6" customFormat="1" ht="20.45" customHeight="1" spans="2:8">
      <c r="B29" s="34">
        <v>1.04999995231628</v>
      </c>
      <c r="C29" s="36" t="s">
        <v>232</v>
      </c>
      <c r="D29" s="34" t="s">
        <v>233</v>
      </c>
      <c r="E29" s="457" t="s">
        <v>194</v>
      </c>
      <c r="F29" s="34">
        <v>96</v>
      </c>
      <c r="G29" s="75">
        <f>'Basic Rates'!E18</f>
        <v>3.75</v>
      </c>
      <c r="H29" s="38">
        <f t="shared" si="1"/>
        <v>360</v>
      </c>
    </row>
    <row r="30" s="6" customFormat="1" ht="24.95" customHeight="1" spans="2:8">
      <c r="B30" s="34">
        <v>1.05999994277954</v>
      </c>
      <c r="C30" s="36" t="s">
        <v>76</v>
      </c>
      <c r="D30" s="34" t="s">
        <v>213</v>
      </c>
      <c r="E30" s="457" t="s">
        <v>175</v>
      </c>
      <c r="F30" s="34">
        <v>1.5</v>
      </c>
      <c r="G30" s="75">
        <f>'Basic Rates'!$J$11</f>
        <v>3500</v>
      </c>
      <c r="H30" s="38">
        <f t="shared" si="1"/>
        <v>5250</v>
      </c>
    </row>
    <row r="31" s="6" customFormat="1" ht="24.95" customHeight="1" spans="2:8">
      <c r="B31" s="34">
        <v>1.07000005245209</v>
      </c>
      <c r="C31" s="36" t="s">
        <v>208</v>
      </c>
      <c r="D31" s="76" t="s">
        <v>209</v>
      </c>
      <c r="E31" s="457" t="s">
        <v>175</v>
      </c>
      <c r="F31" s="34">
        <v>2</v>
      </c>
      <c r="G31" s="77">
        <f>'Basic Rates'!$J$10</f>
        <v>2300</v>
      </c>
      <c r="H31" s="38">
        <f t="shared" si="1"/>
        <v>4600</v>
      </c>
    </row>
    <row r="32" s="6" customFormat="1" ht="24.95" customHeight="1" spans="2:8">
      <c r="B32" s="34">
        <v>1.08000004291534</v>
      </c>
      <c r="C32" s="36" t="s">
        <v>1136</v>
      </c>
      <c r="D32" s="457" t="s">
        <v>676</v>
      </c>
      <c r="E32" s="457" t="s">
        <v>676</v>
      </c>
      <c r="F32" s="457" t="s">
        <v>676</v>
      </c>
      <c r="G32" s="457" t="s">
        <v>676</v>
      </c>
      <c r="H32" s="38">
        <f>(H30+H31)*3/100</f>
        <v>295.5</v>
      </c>
    </row>
    <row r="33" s="6" customFormat="1" ht="20.45" customHeight="1" spans="2:8">
      <c r="B33" s="61"/>
      <c r="C33" s="61"/>
      <c r="D33" s="39" t="s">
        <v>579</v>
      </c>
      <c r="E33" s="40">
        <f>$F$23</f>
        <v>1.95</v>
      </c>
      <c r="F33" s="40" t="str">
        <f>$G$23</f>
        <v>Sqrs</v>
      </c>
      <c r="G33" s="41"/>
      <c r="H33" s="38">
        <f>SUM(H25:H32)</f>
        <v>17261.75</v>
      </c>
    </row>
    <row r="34" s="6" customFormat="1" ht="20.45" customHeight="1" spans="2:8">
      <c r="B34" s="61"/>
      <c r="C34" s="61"/>
      <c r="D34" s="39" t="s">
        <v>580</v>
      </c>
      <c r="E34" s="40" t="str">
        <f>$G$23</f>
        <v>Sqrs</v>
      </c>
      <c r="F34" s="40"/>
      <c r="G34" s="41"/>
      <c r="H34" s="38">
        <f>H33/F23</f>
        <v>8852.17948717949</v>
      </c>
    </row>
    <row r="35" s="4" customFormat="1" ht="15" customHeight="1" spans="1:11">
      <c r="A35" s="42"/>
      <c r="B35" s="43"/>
      <c r="C35" s="43"/>
      <c r="D35" s="44" t="s">
        <v>581</v>
      </c>
      <c r="E35" s="45"/>
      <c r="F35" s="45"/>
      <c r="G35" s="78"/>
      <c r="H35" s="79">
        <f>ROUND(H34,0)</f>
        <v>8852</v>
      </c>
      <c r="K35" s="58"/>
    </row>
    <row r="36" s="4" customFormat="1" ht="30.6" customHeight="1" spans="1:8">
      <c r="A36" s="42"/>
      <c r="B36" s="42"/>
      <c r="C36" s="42"/>
      <c r="D36" s="50"/>
      <c r="E36" s="51"/>
      <c r="F36" s="51"/>
      <c r="G36" s="52"/>
      <c r="H36" s="53"/>
    </row>
    <row r="37" s="2" customFormat="1" ht="39" customHeight="1" spans="1:9">
      <c r="A37" s="73">
        <v>15.03</v>
      </c>
      <c r="B37" s="74"/>
      <c r="C37" s="30" t="s">
        <v>1137</v>
      </c>
      <c r="D37" s="30"/>
      <c r="E37" s="30"/>
      <c r="F37" s="30"/>
      <c r="G37" s="30"/>
      <c r="H37" s="30"/>
      <c r="I37" s="57"/>
    </row>
    <row r="38" s="3" customFormat="1" ht="18" customHeight="1" spans="4:8">
      <c r="D38" s="31"/>
      <c r="E38" s="32" t="s">
        <v>570</v>
      </c>
      <c r="F38" s="31">
        <v>1.95</v>
      </c>
      <c r="G38" s="32" t="s">
        <v>592</v>
      </c>
      <c r="H38" s="33"/>
    </row>
    <row r="39" s="6" customFormat="1" ht="15" customHeight="1" spans="2:8">
      <c r="B39" s="34" t="s">
        <v>194</v>
      </c>
      <c r="C39" s="34" t="s">
        <v>573</v>
      </c>
      <c r="D39" s="34" t="s">
        <v>574</v>
      </c>
      <c r="E39" s="34" t="s">
        <v>6</v>
      </c>
      <c r="F39" s="34" t="s">
        <v>575</v>
      </c>
      <c r="G39" s="34" t="s">
        <v>576</v>
      </c>
      <c r="H39" s="35" t="s">
        <v>577</v>
      </c>
    </row>
    <row r="40" s="6" customFormat="1" ht="20.45" customHeight="1" spans="2:8">
      <c r="B40" s="34">
        <v>1.00999999046326</v>
      </c>
      <c r="C40" s="36" t="s">
        <v>1138</v>
      </c>
      <c r="D40" s="34" t="s">
        <v>504</v>
      </c>
      <c r="E40" s="457" t="s">
        <v>308</v>
      </c>
      <c r="F40" s="34">
        <v>115</v>
      </c>
      <c r="G40" s="75">
        <f>'Basic Rates'!E150</f>
        <v>65</v>
      </c>
      <c r="H40" s="38">
        <f t="shared" ref="H40:H49" si="2">G40*F40</f>
        <v>7475</v>
      </c>
    </row>
    <row r="41" s="6" customFormat="1" ht="25.5" spans="2:8">
      <c r="B41" s="34">
        <v>1.01999998092651</v>
      </c>
      <c r="C41" s="36" t="s">
        <v>1139</v>
      </c>
      <c r="D41" s="34" t="s">
        <v>478</v>
      </c>
      <c r="E41" s="457" t="s">
        <v>187</v>
      </c>
      <c r="F41" s="34">
        <v>215</v>
      </c>
      <c r="G41" s="75">
        <f>'Basic Rates'!E138</f>
        <v>28</v>
      </c>
      <c r="H41" s="38">
        <f t="shared" si="2"/>
        <v>6020</v>
      </c>
    </row>
    <row r="42" s="6" customFormat="1" ht="20.45" customHeight="1" spans="2:8">
      <c r="B42" s="34">
        <v>1.02999997138977</v>
      </c>
      <c r="C42" s="36" t="s">
        <v>24</v>
      </c>
      <c r="D42" s="76" t="s">
        <v>253</v>
      </c>
      <c r="E42" s="34" t="s">
        <v>254</v>
      </c>
      <c r="F42" s="34">
        <v>0.027</v>
      </c>
      <c r="G42" s="77">
        <f>'Basic Rates'!$E$29</f>
        <v>2400</v>
      </c>
      <c r="H42" s="38">
        <f t="shared" si="2"/>
        <v>64.8</v>
      </c>
    </row>
    <row r="43" s="6" customFormat="1" ht="20.45" customHeight="1" spans="2:8">
      <c r="B43" s="34">
        <v>1.03999996185303</v>
      </c>
      <c r="C43" s="36" t="s">
        <v>28</v>
      </c>
      <c r="D43" s="76" t="s">
        <v>433</v>
      </c>
      <c r="E43" s="34" t="s">
        <v>638</v>
      </c>
      <c r="F43" s="34">
        <v>0.04</v>
      </c>
      <c r="G43" s="77">
        <f>'Basic Rates'!$E$116</f>
        <v>18000</v>
      </c>
      <c r="H43" s="38">
        <f t="shared" si="2"/>
        <v>720</v>
      </c>
    </row>
    <row r="44" s="6" customFormat="1" ht="20.45" customHeight="1" spans="2:8">
      <c r="B44" s="34">
        <v>1.04999995231628</v>
      </c>
      <c r="C44" s="36" t="s">
        <v>1140</v>
      </c>
      <c r="D44" s="34" t="s">
        <v>226</v>
      </c>
      <c r="E44" s="34" t="s">
        <v>621</v>
      </c>
      <c r="F44" s="80">
        <f>4/0.454</f>
        <v>8.81057268722467</v>
      </c>
      <c r="G44" s="75">
        <f>'Basic Rates'!E15</f>
        <v>50</v>
      </c>
      <c r="H44" s="38">
        <f t="shared" si="2"/>
        <v>440.528634361233</v>
      </c>
    </row>
    <row r="45" s="6" customFormat="1" ht="28.5" customHeight="1" spans="2:8">
      <c r="B45" s="34">
        <v>1.05999994277954</v>
      </c>
      <c r="C45" s="36" t="s">
        <v>1141</v>
      </c>
      <c r="D45" s="76" t="s">
        <v>218</v>
      </c>
      <c r="E45" s="457" t="s">
        <v>175</v>
      </c>
      <c r="F45" s="34">
        <v>1</v>
      </c>
      <c r="G45" s="77">
        <f>'Basic Rates'!$J$12</f>
        <v>3500</v>
      </c>
      <c r="H45" s="38">
        <f t="shared" si="2"/>
        <v>3500</v>
      </c>
    </row>
    <row r="46" s="6" customFormat="1" ht="29.25" customHeight="1" spans="2:8">
      <c r="B46" s="34">
        <v>1.07000005245209</v>
      </c>
      <c r="C46" s="36" t="s">
        <v>1142</v>
      </c>
      <c r="D46" s="34" t="s">
        <v>213</v>
      </c>
      <c r="E46" s="457" t="s">
        <v>175</v>
      </c>
      <c r="F46" s="34">
        <v>1</v>
      </c>
      <c r="G46" s="75">
        <f>'Basic Rates'!$J$11</f>
        <v>3500</v>
      </c>
      <c r="H46" s="38">
        <f t="shared" si="2"/>
        <v>3500</v>
      </c>
    </row>
    <row r="47" s="6" customFormat="1" ht="25.5" spans="2:8">
      <c r="B47" s="34">
        <v>1.08000004291534</v>
      </c>
      <c r="C47" s="36" t="s">
        <v>1143</v>
      </c>
      <c r="D47" s="76" t="s">
        <v>209</v>
      </c>
      <c r="E47" s="457" t="s">
        <v>175</v>
      </c>
      <c r="F47" s="34">
        <v>3</v>
      </c>
      <c r="G47" s="77">
        <f>'Basic Rates'!$J$10</f>
        <v>2300</v>
      </c>
      <c r="H47" s="38">
        <f t="shared" si="2"/>
        <v>6900</v>
      </c>
    </row>
    <row r="48" s="6" customFormat="1" ht="20.45" customHeight="1" spans="2:8">
      <c r="B48" s="34">
        <v>1.0900000333786</v>
      </c>
      <c r="C48" s="36" t="s">
        <v>1144</v>
      </c>
      <c r="D48" s="34" t="s">
        <v>213</v>
      </c>
      <c r="E48" s="457" t="s">
        <v>175</v>
      </c>
      <c r="F48" s="34">
        <v>3</v>
      </c>
      <c r="G48" s="75">
        <f>'Basic Rates'!$J$11</f>
        <v>3500</v>
      </c>
      <c r="H48" s="38">
        <f t="shared" si="2"/>
        <v>10500</v>
      </c>
    </row>
    <row r="49" s="6" customFormat="1" ht="25.5" spans="2:8">
      <c r="B49" s="68">
        <v>1.10000002384186</v>
      </c>
      <c r="C49" s="36" t="s">
        <v>1145</v>
      </c>
      <c r="D49" s="76" t="s">
        <v>209</v>
      </c>
      <c r="E49" s="34" t="s">
        <v>175</v>
      </c>
      <c r="F49" s="34">
        <v>4</v>
      </c>
      <c r="G49" s="77">
        <f>'Basic Rates'!$J$10</f>
        <v>2300</v>
      </c>
      <c r="H49" s="38">
        <f t="shared" si="2"/>
        <v>9200</v>
      </c>
    </row>
    <row r="50" s="6" customFormat="1" ht="28.5" customHeight="1" spans="2:8">
      <c r="B50" s="34">
        <v>1.11000001430511</v>
      </c>
      <c r="C50" s="36" t="s">
        <v>1146</v>
      </c>
      <c r="D50" s="457" t="s">
        <v>676</v>
      </c>
      <c r="E50" s="457" t="s">
        <v>676</v>
      </c>
      <c r="F50" s="457" t="s">
        <v>676</v>
      </c>
      <c r="G50" s="457" t="s">
        <v>676</v>
      </c>
      <c r="H50" s="38">
        <f>(H45+H46+H47+H48+H49)*3/100</f>
        <v>1008</v>
      </c>
    </row>
    <row r="51" s="6" customFormat="1" ht="20.45" customHeight="1" spans="2:8">
      <c r="B51" s="61"/>
      <c r="C51" s="61"/>
      <c r="D51" s="39" t="s">
        <v>579</v>
      </c>
      <c r="E51" s="40">
        <f>$F$38</f>
        <v>1.95</v>
      </c>
      <c r="F51" s="40" t="str">
        <f>$G$38</f>
        <v>Sqrs</v>
      </c>
      <c r="G51" s="41"/>
      <c r="H51" s="38">
        <f>SUM(H40:H50)</f>
        <v>49328.3286343612</v>
      </c>
    </row>
    <row r="52" s="6" customFormat="1" ht="20.45" customHeight="1" spans="2:8">
      <c r="B52" s="61"/>
      <c r="C52" s="61"/>
      <c r="D52" s="39" t="s">
        <v>580</v>
      </c>
      <c r="E52" s="40" t="str">
        <f>$G$38</f>
        <v>Sqrs</v>
      </c>
      <c r="F52" s="40"/>
      <c r="G52" s="41"/>
      <c r="H52" s="38">
        <f>H51/F38</f>
        <v>25296.5787868519</v>
      </c>
    </row>
    <row r="53" s="4" customFormat="1" ht="15" customHeight="1" spans="1:11">
      <c r="A53" s="42"/>
      <c r="B53" s="43"/>
      <c r="C53" s="43"/>
      <c r="D53" s="44" t="s">
        <v>581</v>
      </c>
      <c r="E53" s="45"/>
      <c r="F53" s="45"/>
      <c r="G53" s="78"/>
      <c r="H53" s="79">
        <f>ROUND(H52,0)</f>
        <v>25297</v>
      </c>
      <c r="K53" s="58"/>
    </row>
    <row r="54" s="4" customFormat="1" ht="30.6" customHeight="1" spans="1:8">
      <c r="A54" s="42"/>
      <c r="B54" s="42"/>
      <c r="C54" s="42"/>
      <c r="D54" s="50"/>
      <c r="E54" s="51"/>
      <c r="F54" s="51"/>
      <c r="G54" s="52"/>
      <c r="H54" s="53"/>
    </row>
    <row r="55" s="2" customFormat="1" ht="39" customHeight="1" spans="1:9">
      <c r="A55" s="73">
        <v>15.04</v>
      </c>
      <c r="B55" s="74"/>
      <c r="C55" s="30" t="s">
        <v>1147</v>
      </c>
      <c r="D55" s="30"/>
      <c r="E55" s="30"/>
      <c r="F55" s="30"/>
      <c r="G55" s="30"/>
      <c r="H55" s="30"/>
      <c r="I55" s="57"/>
    </row>
    <row r="56" s="3" customFormat="1" ht="18" customHeight="1" spans="4:8">
      <c r="D56" s="31"/>
      <c r="E56" s="32" t="s">
        <v>570</v>
      </c>
      <c r="F56" s="31">
        <v>1.8</v>
      </c>
      <c r="G56" s="32" t="s">
        <v>761</v>
      </c>
      <c r="H56" s="33"/>
    </row>
    <row r="57" s="6" customFormat="1" ht="15" customHeight="1" spans="2:8">
      <c r="B57" s="34" t="s">
        <v>194</v>
      </c>
      <c r="C57" s="34" t="s">
        <v>573</v>
      </c>
      <c r="D57" s="34" t="s">
        <v>574</v>
      </c>
      <c r="E57" s="34" t="s">
        <v>6</v>
      </c>
      <c r="F57" s="34" t="s">
        <v>575</v>
      </c>
      <c r="G57" s="34" t="s">
        <v>576</v>
      </c>
      <c r="H57" s="35" t="s">
        <v>577</v>
      </c>
    </row>
    <row r="58" s="6" customFormat="1" ht="25.5" spans="2:8">
      <c r="B58" s="34">
        <v>1.00999999046326</v>
      </c>
      <c r="C58" s="36" t="s">
        <v>1139</v>
      </c>
      <c r="D58" s="34" t="s">
        <v>478</v>
      </c>
      <c r="E58" s="457" t="s">
        <v>187</v>
      </c>
      <c r="F58" s="34">
        <v>220</v>
      </c>
      <c r="G58" s="75">
        <f>'Basic Rates'!E138</f>
        <v>28</v>
      </c>
      <c r="H58" s="38">
        <f t="shared" ref="H58:H63" si="3">G58*F58</f>
        <v>6160</v>
      </c>
    </row>
    <row r="59" s="6" customFormat="1" ht="20.45" customHeight="1" spans="2:8">
      <c r="B59" s="34">
        <v>1.01999998092651</v>
      </c>
      <c r="C59" s="36" t="s">
        <v>1148</v>
      </c>
      <c r="D59" s="34" t="s">
        <v>512</v>
      </c>
      <c r="E59" s="457" t="s">
        <v>308</v>
      </c>
      <c r="F59" s="34">
        <v>40</v>
      </c>
      <c r="G59" s="75">
        <f>'Basic Rates'!E154</f>
        <v>5</v>
      </c>
      <c r="H59" s="38">
        <f t="shared" si="3"/>
        <v>200</v>
      </c>
    </row>
    <row r="60" s="6" customFormat="1" ht="20.45" customHeight="1" spans="2:8">
      <c r="B60" s="34">
        <v>1.02999997138977</v>
      </c>
      <c r="C60" s="36" t="s">
        <v>1149</v>
      </c>
      <c r="D60" s="34" t="s">
        <v>353</v>
      </c>
      <c r="E60" s="34" t="s">
        <v>199</v>
      </c>
      <c r="F60" s="34">
        <v>4.5</v>
      </c>
      <c r="G60" s="75">
        <f>'Basic Rates'!E76</f>
        <v>20</v>
      </c>
      <c r="H60" s="38">
        <f t="shared" si="3"/>
        <v>90</v>
      </c>
    </row>
    <row r="61" s="6" customFormat="1" ht="20.45" customHeight="1" spans="2:8">
      <c r="B61" s="34">
        <v>1.03999996185303</v>
      </c>
      <c r="C61" s="36" t="s">
        <v>1150</v>
      </c>
      <c r="D61" s="34" t="s">
        <v>226</v>
      </c>
      <c r="E61" s="34" t="s">
        <v>199</v>
      </c>
      <c r="F61" s="80">
        <f>4/0.454</f>
        <v>8.81057268722467</v>
      </c>
      <c r="G61" s="75">
        <f>'Basic Rates'!E15</f>
        <v>50</v>
      </c>
      <c r="H61" s="38">
        <f t="shared" si="3"/>
        <v>440.528634361233</v>
      </c>
    </row>
    <row r="62" s="6" customFormat="1" ht="20.45" customHeight="1" spans="2:8">
      <c r="B62" s="34">
        <v>1.04999995231628</v>
      </c>
      <c r="C62" s="36" t="s">
        <v>76</v>
      </c>
      <c r="D62" s="34" t="s">
        <v>213</v>
      </c>
      <c r="E62" s="457" t="s">
        <v>175</v>
      </c>
      <c r="F62" s="34">
        <v>3</v>
      </c>
      <c r="G62" s="75">
        <f>'Basic Rates'!$J$11</f>
        <v>3500</v>
      </c>
      <c r="H62" s="38">
        <f t="shared" si="3"/>
        <v>10500</v>
      </c>
    </row>
    <row r="63" s="6" customFormat="1" ht="24.95" customHeight="1" spans="2:8">
      <c r="B63" s="34">
        <v>1.05999994277954</v>
      </c>
      <c r="C63" s="36" t="s">
        <v>208</v>
      </c>
      <c r="D63" s="76" t="s">
        <v>209</v>
      </c>
      <c r="E63" s="457" t="s">
        <v>175</v>
      </c>
      <c r="F63" s="34">
        <v>6</v>
      </c>
      <c r="G63" s="77">
        <f>'Basic Rates'!$J$10</f>
        <v>2300</v>
      </c>
      <c r="H63" s="38">
        <f t="shared" si="3"/>
        <v>13800</v>
      </c>
    </row>
    <row r="64" s="6" customFormat="1" ht="24.95" customHeight="1" spans="2:8">
      <c r="B64" s="34">
        <v>1.07000005245209</v>
      </c>
      <c r="C64" s="36" t="s">
        <v>675</v>
      </c>
      <c r="D64" s="457" t="s">
        <v>676</v>
      </c>
      <c r="E64" s="457" t="s">
        <v>676</v>
      </c>
      <c r="F64" s="457" t="s">
        <v>676</v>
      </c>
      <c r="G64" s="457" t="s">
        <v>676</v>
      </c>
      <c r="H64" s="38">
        <f>(H62+H63)*3/100</f>
        <v>729</v>
      </c>
    </row>
    <row r="65" s="6" customFormat="1" ht="20.45" customHeight="1" spans="2:8">
      <c r="B65" s="61"/>
      <c r="C65" s="61"/>
      <c r="D65" s="39" t="s">
        <v>579</v>
      </c>
      <c r="E65" s="40">
        <f>$F$56</f>
        <v>1.8</v>
      </c>
      <c r="F65" s="40" t="str">
        <f>$G$56</f>
        <v>Sq</v>
      </c>
      <c r="G65" s="41"/>
      <c r="H65" s="38">
        <f>SUM(H58:H64)</f>
        <v>31919.5286343612</v>
      </c>
    </row>
    <row r="66" s="6" customFormat="1" ht="20.45" customHeight="1" spans="2:8">
      <c r="B66" s="61"/>
      <c r="C66" s="61"/>
      <c r="D66" s="39" t="s">
        <v>580</v>
      </c>
      <c r="E66" s="40" t="str">
        <f>$G$56</f>
        <v>Sq</v>
      </c>
      <c r="F66" s="40"/>
      <c r="G66" s="41"/>
      <c r="H66" s="38">
        <f>H65/F56</f>
        <v>17733.071463534</v>
      </c>
    </row>
    <row r="67" s="4" customFormat="1" ht="15" customHeight="1" spans="1:11">
      <c r="A67" s="42"/>
      <c r="B67" s="43"/>
      <c r="C67" s="43"/>
      <c r="D67" s="44" t="s">
        <v>581</v>
      </c>
      <c r="E67" s="45"/>
      <c r="F67" s="45"/>
      <c r="G67" s="78"/>
      <c r="H67" s="79">
        <f>ROUND(H66,0)</f>
        <v>17733</v>
      </c>
      <c r="K67" s="58"/>
    </row>
    <row r="68" s="6" customFormat="1" spans="4:8">
      <c r="D68" s="7"/>
      <c r="E68" s="7"/>
      <c r="F68" s="7"/>
      <c r="G68" s="8"/>
      <c r="H68" s="9"/>
    </row>
    <row r="69" s="6" customFormat="1" spans="4:8">
      <c r="D69" s="7"/>
      <c r="E69" s="7"/>
      <c r="F69" s="7"/>
      <c r="G69" s="8"/>
      <c r="H69" s="9"/>
    </row>
    <row r="70" s="6" customFormat="1" spans="4:8">
      <c r="D70" s="7"/>
      <c r="E70" s="7"/>
      <c r="F70" s="7"/>
      <c r="G70" s="8"/>
      <c r="H70" s="9"/>
    </row>
    <row r="71" s="6" customFormat="1" spans="4:8">
      <c r="D71" s="7"/>
      <c r="E71" s="7"/>
      <c r="F71" s="7"/>
      <c r="G71" s="8"/>
      <c r="H71" s="9"/>
    </row>
    <row r="72" s="6" customFormat="1" spans="4:8">
      <c r="D72" s="7"/>
      <c r="E72" s="7"/>
      <c r="F72" s="7"/>
      <c r="G72" s="8"/>
      <c r="H72" s="9"/>
    </row>
  </sheetData>
  <mergeCells count="9">
    <mergeCell ref="A2:H2"/>
    <mergeCell ref="A4:B4"/>
    <mergeCell ref="C4:H4"/>
    <mergeCell ref="A22:B22"/>
    <mergeCell ref="C22:H22"/>
    <mergeCell ref="A37:B37"/>
    <mergeCell ref="C37:H37"/>
    <mergeCell ref="A55:B55"/>
    <mergeCell ref="C55:H55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indexed="20"/>
  </sheetPr>
  <dimension ref="A1:K253"/>
  <sheetViews>
    <sheetView topLeftCell="A109" workbookViewId="0">
      <selection activeCell="G130" sqref="G130"/>
    </sheetView>
  </sheetViews>
  <sheetFormatPr defaultColWidth="9" defaultRowHeight="12.75"/>
  <cols>
    <col min="1" max="1" width="1.71428571428571" style="6" customWidth="1"/>
    <col min="2" max="2" width="5.71428571428571" style="6" customWidth="1"/>
    <col min="3" max="3" width="35.8571428571429" style="6" customWidth="1"/>
    <col min="4" max="4" width="7.57142857142857" style="7" customWidth="1"/>
    <col min="5" max="5" width="7.42857142857143" style="7" customWidth="1"/>
    <col min="6" max="6" width="7.14285714285714" style="7" customWidth="1"/>
    <col min="7" max="7" width="9.14285714285714" style="8"/>
    <col min="8" max="8" width="11.8571428571429" style="9" customWidth="1"/>
    <col min="9" max="16384" width="9.14285714285714" style="6"/>
  </cols>
  <sheetData>
    <row r="1" ht="11.25" customHeight="1"/>
    <row r="2" ht="20.1" customHeight="1" spans="1:9">
      <c r="A2" s="10" t="s">
        <v>1151</v>
      </c>
      <c r="B2" s="10"/>
      <c r="C2" s="10"/>
      <c r="D2" s="10"/>
      <c r="E2" s="10"/>
      <c r="F2" s="10"/>
      <c r="G2" s="10"/>
      <c r="H2" s="10"/>
      <c r="I2" s="54"/>
    </row>
    <row r="3" s="1" customFormat="1" ht="9" customHeight="1" spans="1:9">
      <c r="A3" s="11"/>
      <c r="B3" s="12"/>
      <c r="C3" s="13"/>
      <c r="D3" s="14"/>
      <c r="E3" s="14"/>
      <c r="F3" s="14"/>
      <c r="G3" s="15"/>
      <c r="H3" s="16"/>
      <c r="I3" s="55"/>
    </row>
    <row r="4" s="1" customFormat="1" ht="20.1" customHeight="1" spans="1:9">
      <c r="A4" s="11"/>
      <c r="B4" s="17" t="s">
        <v>564</v>
      </c>
      <c r="C4" s="18" t="s">
        <v>1152</v>
      </c>
      <c r="D4" s="14"/>
      <c r="E4" s="14"/>
      <c r="F4" s="14"/>
      <c r="G4" s="15"/>
      <c r="H4" s="16"/>
      <c r="I4" s="55"/>
    </row>
    <row r="5" s="1" customFormat="1" ht="20.1" customHeight="1" spans="1:9">
      <c r="A5" s="11"/>
      <c r="B5" s="17" t="s">
        <v>566</v>
      </c>
      <c r="C5" s="18" t="s">
        <v>1153</v>
      </c>
      <c r="D5" s="14"/>
      <c r="E5" s="14"/>
      <c r="F5" s="14"/>
      <c r="G5" s="15"/>
      <c r="H5" s="16"/>
      <c r="I5" s="55"/>
    </row>
    <row r="6" s="1" customFormat="1" ht="20.1" customHeight="1" spans="1:9">
      <c r="A6" s="11"/>
      <c r="B6" s="17" t="s">
        <v>680</v>
      </c>
      <c r="C6" s="18" t="s">
        <v>1154</v>
      </c>
      <c r="D6" s="14"/>
      <c r="E6" s="14"/>
      <c r="F6" s="14"/>
      <c r="G6" s="15"/>
      <c r="H6" s="16"/>
      <c r="I6" s="55"/>
    </row>
    <row r="7" s="1" customFormat="1" ht="20.1" customHeight="1" spans="1:9">
      <c r="A7" s="11"/>
      <c r="B7" s="17" t="s">
        <v>665</v>
      </c>
      <c r="C7" s="18" t="s">
        <v>1155</v>
      </c>
      <c r="D7" s="14"/>
      <c r="E7" s="14"/>
      <c r="F7" s="14"/>
      <c r="G7" s="15"/>
      <c r="H7" s="16"/>
      <c r="I7" s="55"/>
    </row>
    <row r="8" s="1" customFormat="1" ht="20.25" customHeight="1" spans="1:9">
      <c r="A8" s="19"/>
      <c r="B8" s="20"/>
      <c r="C8" s="21"/>
      <c r="D8" s="22" t="s">
        <v>1152</v>
      </c>
      <c r="E8" s="21"/>
      <c r="F8" s="21"/>
      <c r="G8" s="23"/>
      <c r="H8" s="24"/>
      <c r="I8" s="56"/>
    </row>
    <row r="9" s="1" customFormat="1" ht="9" customHeight="1" spans="2:8">
      <c r="B9" s="25"/>
      <c r="C9" s="26"/>
      <c r="D9" s="26"/>
      <c r="E9" s="26"/>
      <c r="F9" s="26"/>
      <c r="G9" s="27"/>
      <c r="H9" s="28"/>
    </row>
    <row r="10" s="2" customFormat="1" ht="19.5" customHeight="1" spans="1:9">
      <c r="A10" s="29" t="s">
        <v>1156</v>
      </c>
      <c r="B10" s="29"/>
      <c r="C10" s="30" t="s">
        <v>1157</v>
      </c>
      <c r="D10" s="30"/>
      <c r="E10" s="30"/>
      <c r="F10" s="30"/>
      <c r="G10" s="30"/>
      <c r="H10" s="30"/>
      <c r="I10" s="57"/>
    </row>
    <row r="11" s="3" customFormat="1" ht="13.5" customHeight="1" spans="4:8">
      <c r="D11" s="31"/>
      <c r="E11" s="32" t="s">
        <v>570</v>
      </c>
      <c r="F11" s="31">
        <v>1</v>
      </c>
      <c r="G11" s="32" t="s">
        <v>571</v>
      </c>
      <c r="H11" s="33"/>
    </row>
    <row r="12" ht="15" customHeight="1" spans="2:8">
      <c r="B12" s="34" t="s">
        <v>194</v>
      </c>
      <c r="C12" s="34" t="s">
        <v>573</v>
      </c>
      <c r="D12" s="34" t="s">
        <v>574</v>
      </c>
      <c r="E12" s="34" t="s">
        <v>6</v>
      </c>
      <c r="F12" s="34" t="s">
        <v>575</v>
      </c>
      <c r="G12" s="34" t="s">
        <v>576</v>
      </c>
      <c r="H12" s="35" t="s">
        <v>577</v>
      </c>
    </row>
    <row r="13" ht="20.1" customHeight="1" spans="2:8">
      <c r="B13" s="34">
        <v>1.00999999046326</v>
      </c>
      <c r="C13" s="36" t="s">
        <v>356</v>
      </c>
      <c r="D13" s="34" t="s">
        <v>357</v>
      </c>
      <c r="E13" s="457" t="s">
        <v>180</v>
      </c>
      <c r="F13" s="34">
        <v>0.9</v>
      </c>
      <c r="G13" s="37">
        <f>'Basic Rates'!E78</f>
        <v>805</v>
      </c>
      <c r="H13" s="38">
        <f t="shared" ref="H13:H18" si="0">G13*F13</f>
        <v>724.5</v>
      </c>
    </row>
    <row r="14" ht="20.1" customHeight="1" spans="2:10">
      <c r="B14" s="34">
        <v>1.01999998092651</v>
      </c>
      <c r="C14" s="36" t="s">
        <v>289</v>
      </c>
      <c r="D14" s="34" t="s">
        <v>290</v>
      </c>
      <c r="E14" s="457" t="s">
        <v>180</v>
      </c>
      <c r="F14" s="34">
        <v>1.4</v>
      </c>
      <c r="G14" s="37">
        <f>'Basic Rates'!E46</f>
        <v>2670</v>
      </c>
      <c r="H14" s="38">
        <f t="shared" si="0"/>
        <v>3738</v>
      </c>
      <c r="J14" s="6">
        <f>32000/20</f>
        <v>1600</v>
      </c>
    </row>
    <row r="15" ht="20.1" customHeight="1" spans="2:8">
      <c r="B15" s="34">
        <v>1.02999997138977</v>
      </c>
      <c r="C15" s="36" t="s">
        <v>36</v>
      </c>
      <c r="D15" s="34" t="s">
        <v>525</v>
      </c>
      <c r="E15" s="34" t="s">
        <v>173</v>
      </c>
      <c r="F15" s="34">
        <v>0.1</v>
      </c>
      <c r="G15" s="37">
        <f>'Basic Rates'!$E$161</f>
        <v>0.3</v>
      </c>
      <c r="H15" s="38">
        <f t="shared" si="0"/>
        <v>0.03</v>
      </c>
    </row>
    <row r="16" ht="20.1" customHeight="1" spans="2:8">
      <c r="B16" s="34">
        <v>1.03999996185303</v>
      </c>
      <c r="C16" s="36" t="s">
        <v>1158</v>
      </c>
      <c r="D16" s="34" t="s">
        <v>244</v>
      </c>
      <c r="E16" s="34" t="s">
        <v>194</v>
      </c>
      <c r="F16" s="34">
        <v>0.1</v>
      </c>
      <c r="G16" s="37">
        <f>'Basic Rates'!$E$24</f>
        <v>2350</v>
      </c>
      <c r="H16" s="38">
        <f t="shared" si="0"/>
        <v>235</v>
      </c>
    </row>
    <row r="17" ht="20.1" customHeight="1" spans="2:8">
      <c r="B17" s="34">
        <v>1.04999995231628</v>
      </c>
      <c r="C17" s="36" t="s">
        <v>434</v>
      </c>
      <c r="D17" s="34" t="s">
        <v>435</v>
      </c>
      <c r="E17" s="457" t="s">
        <v>918</v>
      </c>
      <c r="F17" s="34">
        <v>2</v>
      </c>
      <c r="G17" s="37">
        <f>'Basic Rates'!$E$117</f>
        <v>250</v>
      </c>
      <c r="H17" s="38">
        <f t="shared" si="0"/>
        <v>500</v>
      </c>
    </row>
    <row r="18" ht="20.1" customHeight="1" spans="2:8">
      <c r="B18" s="34">
        <v>1.05999994277954</v>
      </c>
      <c r="C18" s="36" t="s">
        <v>74</v>
      </c>
      <c r="D18" s="34" t="s">
        <v>174</v>
      </c>
      <c r="E18" s="457" t="s">
        <v>175</v>
      </c>
      <c r="F18" s="34">
        <v>1.25</v>
      </c>
      <c r="G18" s="37">
        <f>'Basic Rates'!$J$4</f>
        <v>4000</v>
      </c>
      <c r="H18" s="38">
        <f t="shared" si="0"/>
        <v>5000</v>
      </c>
    </row>
    <row r="19" ht="22.5" customHeight="1" spans="2:8">
      <c r="B19" s="34">
        <v>1.0699999332428</v>
      </c>
      <c r="C19" s="36" t="s">
        <v>1159</v>
      </c>
      <c r="D19" s="457" t="s">
        <v>676</v>
      </c>
      <c r="E19" s="457" t="s">
        <v>676</v>
      </c>
      <c r="F19" s="457" t="s">
        <v>676</v>
      </c>
      <c r="G19" s="457" t="s">
        <v>676</v>
      </c>
      <c r="H19" s="38">
        <f>(H18)*3/100</f>
        <v>150</v>
      </c>
    </row>
    <row r="20" ht="20.1" customHeight="1" spans="4:8">
      <c r="D20" s="39" t="s">
        <v>579</v>
      </c>
      <c r="E20" s="40">
        <f>$F$11</f>
        <v>1</v>
      </c>
      <c r="F20" s="40" t="str">
        <f>$G$11</f>
        <v>Sqr</v>
      </c>
      <c r="G20" s="41"/>
      <c r="H20" s="38">
        <f>SUM(H13:H19)</f>
        <v>10347.53</v>
      </c>
    </row>
    <row r="21" ht="20.1" customHeight="1" spans="4:8">
      <c r="D21" s="39" t="s">
        <v>580</v>
      </c>
      <c r="E21" s="40" t="str">
        <f>$G$11</f>
        <v>Sqr</v>
      </c>
      <c r="F21" s="40"/>
      <c r="G21" s="41"/>
      <c r="H21" s="38">
        <f>H20/E20</f>
        <v>10347.53</v>
      </c>
    </row>
    <row r="22" s="4" customFormat="1" ht="20.1" customHeight="1" spans="1:11">
      <c r="A22" s="42"/>
      <c r="B22" s="43"/>
      <c r="C22" s="43"/>
      <c r="D22" s="44" t="s">
        <v>581</v>
      </c>
      <c r="E22" s="45"/>
      <c r="F22" s="45"/>
      <c r="G22" s="46" t="s">
        <v>757</v>
      </c>
      <c r="H22" s="47">
        <f>ROUND(H21,0)</f>
        <v>10348</v>
      </c>
      <c r="K22" s="58"/>
    </row>
    <row r="23" s="4" customFormat="1" ht="20.1" customHeight="1" spans="1:11">
      <c r="A23" s="42"/>
      <c r="B23" s="43"/>
      <c r="C23" s="43"/>
      <c r="D23" s="44" t="s">
        <v>581</v>
      </c>
      <c r="E23" s="45"/>
      <c r="F23" s="45"/>
      <c r="G23" s="46" t="s">
        <v>583</v>
      </c>
      <c r="H23" s="47">
        <f>H22/100</f>
        <v>103.48</v>
      </c>
      <c r="K23" s="58"/>
    </row>
    <row r="24" s="4" customFormat="1" ht="20.1" customHeight="1" spans="1:11">
      <c r="A24" s="42"/>
      <c r="B24" s="43"/>
      <c r="C24" s="6"/>
      <c r="D24" s="44" t="s">
        <v>581</v>
      </c>
      <c r="E24" s="45"/>
      <c r="F24" s="45"/>
      <c r="G24" s="46" t="s">
        <v>584</v>
      </c>
      <c r="H24" s="47">
        <f>H23*10.76</f>
        <v>1113.4448</v>
      </c>
      <c r="K24" s="58"/>
    </row>
    <row r="25" s="4" customFormat="1" ht="20.1" customHeight="1" spans="1:8">
      <c r="A25" s="42"/>
      <c r="B25" s="42"/>
      <c r="D25" s="48" t="s">
        <v>746</v>
      </c>
      <c r="E25" s="49"/>
      <c r="F25" s="49"/>
      <c r="G25" s="46" t="s">
        <v>584</v>
      </c>
      <c r="H25" s="47">
        <f>H24</f>
        <v>1113.4448</v>
      </c>
    </row>
    <row r="26" s="4" customFormat="1" ht="20.1" customHeight="1" spans="1:8">
      <c r="A26" s="42"/>
      <c r="B26" s="42"/>
      <c r="D26" s="48" t="s">
        <v>747</v>
      </c>
      <c r="E26" s="49"/>
      <c r="F26" s="49"/>
      <c r="G26" s="46" t="s">
        <v>584</v>
      </c>
      <c r="H26" s="47">
        <f>H25*1.1</f>
        <v>1224.78928</v>
      </c>
    </row>
    <row r="27" s="4" customFormat="1" ht="20.1" customHeight="1" spans="1:8">
      <c r="A27" s="42"/>
      <c r="B27" s="42"/>
      <c r="D27" s="48" t="s">
        <v>748</v>
      </c>
      <c r="E27" s="49"/>
      <c r="F27" s="49"/>
      <c r="G27" s="46" t="s">
        <v>584</v>
      </c>
      <c r="H27" s="47">
        <f>H26*1.1</f>
        <v>1347.268208</v>
      </c>
    </row>
    <row r="28" s="4" customFormat="1" ht="20.1" customHeight="1" spans="1:8">
      <c r="A28" s="42"/>
      <c r="B28" s="42"/>
      <c r="D28" s="48" t="s">
        <v>749</v>
      </c>
      <c r="E28" s="49"/>
      <c r="F28" s="49"/>
      <c r="G28" s="46" t="s">
        <v>584</v>
      </c>
      <c r="H28" s="47">
        <f>H27*1.1</f>
        <v>1481.9950288</v>
      </c>
    </row>
    <row r="29" s="4" customFormat="1" ht="15.75" customHeight="1" spans="1:8">
      <c r="A29" s="42"/>
      <c r="B29" s="42"/>
      <c r="C29" s="42"/>
      <c r="D29" s="50"/>
      <c r="E29" s="51"/>
      <c r="F29" s="51"/>
      <c r="G29" s="52"/>
      <c r="H29" s="53"/>
    </row>
    <row r="30" s="2" customFormat="1" ht="15" customHeight="1" spans="1:9">
      <c r="A30" s="29" t="s">
        <v>1160</v>
      </c>
      <c r="B30" s="29"/>
      <c r="C30" s="30" t="s">
        <v>1161</v>
      </c>
      <c r="D30" s="30"/>
      <c r="E30" s="30"/>
      <c r="F30" s="30"/>
      <c r="G30" s="30"/>
      <c r="H30" s="30"/>
      <c r="I30" s="57"/>
    </row>
    <row r="31" s="3" customFormat="1" ht="13.5" customHeight="1" spans="4:8">
      <c r="D31" s="31"/>
      <c r="E31" s="32" t="s">
        <v>570</v>
      </c>
      <c r="F31" s="31">
        <v>1</v>
      </c>
      <c r="G31" s="32" t="s">
        <v>571</v>
      </c>
      <c r="H31" s="33"/>
    </row>
    <row r="32" ht="15" customHeight="1" spans="2:8">
      <c r="B32" s="34" t="s">
        <v>194</v>
      </c>
      <c r="C32" s="34" t="s">
        <v>573</v>
      </c>
      <c r="D32" s="34" t="s">
        <v>574</v>
      </c>
      <c r="E32" s="34" t="s">
        <v>6</v>
      </c>
      <c r="F32" s="34" t="s">
        <v>575</v>
      </c>
      <c r="G32" s="34" t="s">
        <v>576</v>
      </c>
      <c r="H32" s="35" t="s">
        <v>577</v>
      </c>
    </row>
    <row r="33" ht="20.1" customHeight="1" spans="2:8">
      <c r="B33" s="34">
        <v>1.00999999046326</v>
      </c>
      <c r="C33" s="36" t="s">
        <v>1162</v>
      </c>
      <c r="D33" s="34" t="s">
        <v>290</v>
      </c>
      <c r="E33" s="457" t="s">
        <v>180</v>
      </c>
      <c r="F33" s="34">
        <v>0.757</v>
      </c>
      <c r="G33" s="37">
        <f>'Basic Rates'!$E$46</f>
        <v>2670</v>
      </c>
      <c r="H33" s="38">
        <f>G33*F33</f>
        <v>2021.19</v>
      </c>
    </row>
    <row r="34" ht="20.1" customHeight="1" spans="2:8">
      <c r="B34" s="34">
        <v>1.01999998092651</v>
      </c>
      <c r="C34" s="36" t="s">
        <v>1163</v>
      </c>
      <c r="D34" s="34" t="s">
        <v>290</v>
      </c>
      <c r="E34" s="457" t="s">
        <v>180</v>
      </c>
      <c r="F34" s="34">
        <v>0.649</v>
      </c>
      <c r="G34" s="37">
        <f>'Basic Rates'!$E$46</f>
        <v>2670</v>
      </c>
      <c r="H34" s="38">
        <f>G34*F34</f>
        <v>1732.83</v>
      </c>
    </row>
    <row r="35" ht="20.1" customHeight="1" spans="2:8">
      <c r="B35" s="34">
        <v>1.02999997138977</v>
      </c>
      <c r="C35" s="36" t="s">
        <v>1158</v>
      </c>
      <c r="D35" s="34" t="s">
        <v>244</v>
      </c>
      <c r="E35" s="34" t="s">
        <v>194</v>
      </c>
      <c r="F35" s="34">
        <v>0.1</v>
      </c>
      <c r="G35" s="37">
        <f>'Basic Rates'!E24</f>
        <v>2350</v>
      </c>
      <c r="H35" s="38">
        <f>G35*F35</f>
        <v>235</v>
      </c>
    </row>
    <row r="36" ht="20.1" customHeight="1" spans="2:8">
      <c r="B36" s="34">
        <v>1.03999996185303</v>
      </c>
      <c r="C36" s="36" t="s">
        <v>36</v>
      </c>
      <c r="D36" s="34" t="s">
        <v>525</v>
      </c>
      <c r="E36" s="34" t="s">
        <v>173</v>
      </c>
      <c r="F36" s="34">
        <v>0.1</v>
      </c>
      <c r="G36" s="37">
        <f>'Basic Rates'!$E$161</f>
        <v>0.3</v>
      </c>
      <c r="H36" s="38">
        <f>G36*F36</f>
        <v>0.03</v>
      </c>
    </row>
    <row r="37" ht="20.1" customHeight="1" spans="2:8">
      <c r="B37" s="34">
        <v>1.04999995231628</v>
      </c>
      <c r="C37" s="36" t="s">
        <v>74</v>
      </c>
      <c r="D37" s="34" t="s">
        <v>174</v>
      </c>
      <c r="E37" s="457" t="s">
        <v>175</v>
      </c>
      <c r="F37" s="34">
        <v>0.75</v>
      </c>
      <c r="G37" s="37">
        <f>'Basic Rates'!$J$4</f>
        <v>4000</v>
      </c>
      <c r="H37" s="38">
        <f>G37*F37</f>
        <v>3000</v>
      </c>
    </row>
    <row r="38" ht="25.5" customHeight="1" spans="2:8">
      <c r="B38" s="34">
        <v>1.05999994277954</v>
      </c>
      <c r="C38" s="36" t="s">
        <v>1164</v>
      </c>
      <c r="D38" s="457" t="s">
        <v>676</v>
      </c>
      <c r="E38" s="457" t="s">
        <v>676</v>
      </c>
      <c r="F38" s="457" t="s">
        <v>676</v>
      </c>
      <c r="G38" s="457" t="s">
        <v>676</v>
      </c>
      <c r="H38" s="38">
        <f>(H37)*3/100</f>
        <v>90</v>
      </c>
    </row>
    <row r="39" ht="20.45" customHeight="1" spans="4:8">
      <c r="D39" s="39" t="s">
        <v>579</v>
      </c>
      <c r="E39" s="40">
        <f>$F$31</f>
        <v>1</v>
      </c>
      <c r="F39" s="40" t="str">
        <f>$G$31</f>
        <v>Sqr</v>
      </c>
      <c r="G39" s="41"/>
      <c r="H39" s="38">
        <f>SUM(H33:H38)</f>
        <v>7079.05</v>
      </c>
    </row>
    <row r="40" ht="20.45" customHeight="1" spans="4:8">
      <c r="D40" s="39" t="s">
        <v>580</v>
      </c>
      <c r="E40" s="40" t="str">
        <f>$G$31</f>
        <v>Sqr</v>
      </c>
      <c r="F40" s="40"/>
      <c r="G40" s="41"/>
      <c r="H40" s="38">
        <f>H39/E39</f>
        <v>7079.05</v>
      </c>
    </row>
    <row r="41" s="4" customFormat="1" ht="20.1" customHeight="1" spans="1:11">
      <c r="A41" s="42"/>
      <c r="B41" s="43"/>
      <c r="C41" s="43"/>
      <c r="D41" s="44" t="s">
        <v>581</v>
      </c>
      <c r="E41" s="45"/>
      <c r="F41" s="45"/>
      <c r="G41" s="46" t="s">
        <v>757</v>
      </c>
      <c r="H41" s="47">
        <f>ROUND(H40,0)</f>
        <v>7079</v>
      </c>
      <c r="K41" s="58"/>
    </row>
    <row r="42" s="4" customFormat="1" ht="20.1" customHeight="1" spans="1:11">
      <c r="A42" s="42"/>
      <c r="B42" s="43"/>
      <c r="C42" s="43"/>
      <c r="D42" s="44" t="s">
        <v>581</v>
      </c>
      <c r="E42" s="45"/>
      <c r="F42" s="45"/>
      <c r="G42" s="46" t="s">
        <v>583</v>
      </c>
      <c r="H42" s="47">
        <f>H41/100</f>
        <v>70.79</v>
      </c>
      <c r="K42" s="58"/>
    </row>
    <row r="43" s="4" customFormat="1" ht="20.1" customHeight="1" spans="1:11">
      <c r="A43" s="42"/>
      <c r="B43" s="43"/>
      <c r="C43" s="6"/>
      <c r="D43" s="44" t="s">
        <v>581</v>
      </c>
      <c r="E43" s="45"/>
      <c r="F43" s="45"/>
      <c r="G43" s="46" t="s">
        <v>584</v>
      </c>
      <c r="H43" s="47">
        <f>H42*10.76</f>
        <v>761.7004</v>
      </c>
      <c r="K43" s="58"/>
    </row>
    <row r="44" s="4" customFormat="1" ht="20.1" customHeight="1" spans="1:8">
      <c r="A44" s="42"/>
      <c r="B44" s="42"/>
      <c r="D44" s="48" t="s">
        <v>746</v>
      </c>
      <c r="E44" s="49"/>
      <c r="F44" s="49"/>
      <c r="G44" s="46" t="s">
        <v>584</v>
      </c>
      <c r="H44" s="47">
        <f>H43</f>
        <v>761.7004</v>
      </c>
    </row>
    <row r="45" s="4" customFormat="1" ht="20.1" customHeight="1" spans="1:8">
      <c r="A45" s="42"/>
      <c r="B45" s="42"/>
      <c r="D45" s="48" t="s">
        <v>747</v>
      </c>
      <c r="E45" s="49"/>
      <c r="F45" s="49"/>
      <c r="G45" s="46" t="s">
        <v>584</v>
      </c>
      <c r="H45" s="47">
        <f>H44*1.1</f>
        <v>837.87044</v>
      </c>
    </row>
    <row r="46" s="4" customFormat="1" ht="20.1" customHeight="1" spans="1:8">
      <c r="A46" s="42"/>
      <c r="B46" s="42"/>
      <c r="D46" s="48" t="s">
        <v>748</v>
      </c>
      <c r="E46" s="49"/>
      <c r="F46" s="49"/>
      <c r="G46" s="46" t="s">
        <v>584</v>
      </c>
      <c r="H46" s="47">
        <f>H45*1.1</f>
        <v>921.657484</v>
      </c>
    </row>
    <row r="47" s="4" customFormat="1" ht="20.1" customHeight="1" spans="1:8">
      <c r="A47" s="42"/>
      <c r="B47" s="42"/>
      <c r="D47" s="48" t="s">
        <v>749</v>
      </c>
      <c r="E47" s="49"/>
      <c r="F47" s="49"/>
      <c r="G47" s="46" t="s">
        <v>584</v>
      </c>
      <c r="H47" s="47">
        <f>H46*1.1</f>
        <v>1013.8232324</v>
      </c>
    </row>
    <row r="48" s="4" customFormat="1" ht="15.75" customHeight="1" spans="1:8">
      <c r="A48" s="42"/>
      <c r="B48" s="42"/>
      <c r="C48" s="42"/>
      <c r="D48" s="50"/>
      <c r="E48" s="51"/>
      <c r="F48" s="51"/>
      <c r="G48" s="52"/>
      <c r="H48" s="53"/>
    </row>
    <row r="49" s="2" customFormat="1" ht="15" customHeight="1" spans="1:9">
      <c r="A49" s="29" t="s">
        <v>1165</v>
      </c>
      <c r="B49" s="29"/>
      <c r="C49" s="30" t="s">
        <v>1166</v>
      </c>
      <c r="D49" s="30"/>
      <c r="E49" s="30"/>
      <c r="F49" s="30"/>
      <c r="G49" s="30"/>
      <c r="H49" s="30"/>
      <c r="I49" s="57"/>
    </row>
    <row r="50" s="3" customFormat="1" ht="13.5" customHeight="1" spans="4:8">
      <c r="D50" s="31"/>
      <c r="E50" s="32" t="s">
        <v>570</v>
      </c>
      <c r="F50" s="31">
        <v>10</v>
      </c>
      <c r="G50" s="32" t="s">
        <v>571</v>
      </c>
      <c r="H50" s="33"/>
    </row>
    <row r="51" ht="15" customHeight="1" spans="2:8">
      <c r="B51" s="34" t="s">
        <v>194</v>
      </c>
      <c r="C51" s="34" t="s">
        <v>573</v>
      </c>
      <c r="D51" s="34" t="s">
        <v>574</v>
      </c>
      <c r="E51" s="34" t="s">
        <v>6</v>
      </c>
      <c r="F51" s="34" t="s">
        <v>575</v>
      </c>
      <c r="G51" s="34" t="s">
        <v>576</v>
      </c>
      <c r="H51" s="35" t="s">
        <v>577</v>
      </c>
    </row>
    <row r="52" ht="20.1" customHeight="1" spans="2:8">
      <c r="B52" s="34">
        <v>1.00999999046326</v>
      </c>
      <c r="C52" s="36" t="s">
        <v>214</v>
      </c>
      <c r="D52" s="34" t="s">
        <v>215</v>
      </c>
      <c r="E52" s="457" t="s">
        <v>216</v>
      </c>
      <c r="F52" s="34">
        <v>0.5</v>
      </c>
      <c r="G52" s="37">
        <f>'Basic Rates'!$E$12</f>
        <v>300</v>
      </c>
      <c r="H52" s="38">
        <v>150</v>
      </c>
    </row>
    <row r="53" ht="20.1" customHeight="1" spans="2:8">
      <c r="B53" s="34">
        <v>1.01999998092651</v>
      </c>
      <c r="C53" s="36" t="s">
        <v>431</v>
      </c>
      <c r="D53" s="34" t="s">
        <v>432</v>
      </c>
      <c r="E53" s="457" t="s">
        <v>199</v>
      </c>
      <c r="F53" s="34">
        <v>2</v>
      </c>
      <c r="G53" s="37">
        <f>'Basic Rates'!$E$115</f>
        <v>10</v>
      </c>
      <c r="H53" s="38">
        <v>20</v>
      </c>
    </row>
    <row r="54" ht="20.1" customHeight="1" spans="2:8">
      <c r="B54" s="34">
        <v>1.02999997138977</v>
      </c>
      <c r="C54" s="36" t="s">
        <v>542</v>
      </c>
      <c r="D54" s="34" t="s">
        <v>543</v>
      </c>
      <c r="E54" s="34" t="s">
        <v>199</v>
      </c>
      <c r="F54" s="34">
        <v>0.5</v>
      </c>
      <c r="G54" s="37">
        <f>'Basic Rates'!$E$170</f>
        <v>15</v>
      </c>
      <c r="H54" s="38">
        <v>7.5</v>
      </c>
    </row>
    <row r="55" ht="20.1" customHeight="1" spans="2:8">
      <c r="B55" s="34">
        <v>1.03999996185303</v>
      </c>
      <c r="C55" s="36" t="s">
        <v>210</v>
      </c>
      <c r="D55" s="34" t="s">
        <v>211</v>
      </c>
      <c r="E55" s="34" t="s">
        <v>212</v>
      </c>
      <c r="F55" s="34">
        <v>2</v>
      </c>
      <c r="G55" s="37">
        <f>'Basic Rates'!$E$11</f>
        <v>10</v>
      </c>
      <c r="H55" s="38">
        <v>20</v>
      </c>
    </row>
    <row r="56" ht="20.1" customHeight="1" spans="2:8">
      <c r="B56" s="34">
        <v>1.04999995231628</v>
      </c>
      <c r="C56" s="36" t="s">
        <v>1158</v>
      </c>
      <c r="D56" s="34" t="s">
        <v>244</v>
      </c>
      <c r="E56" s="457" t="s">
        <v>194</v>
      </c>
      <c r="F56" s="34">
        <v>0.333</v>
      </c>
      <c r="G56" s="37">
        <f>'Basic Rates'!$E$24</f>
        <v>2350</v>
      </c>
      <c r="H56" s="38">
        <v>165.83</v>
      </c>
    </row>
    <row r="57" ht="20.1" customHeight="1" spans="2:8">
      <c r="B57" s="34">
        <v>1.05999994277954</v>
      </c>
      <c r="C57" s="36" t="s">
        <v>36</v>
      </c>
      <c r="D57" s="34" t="s">
        <v>525</v>
      </c>
      <c r="E57" s="457" t="s">
        <v>173</v>
      </c>
      <c r="F57" s="34">
        <v>10</v>
      </c>
      <c r="G57" s="37">
        <f>'Basic Rates'!$E$161</f>
        <v>0.3</v>
      </c>
      <c r="H57" s="38">
        <v>3</v>
      </c>
    </row>
    <row r="58" ht="20.1" customHeight="1" spans="2:8">
      <c r="B58" s="34">
        <v>1.07000005245209</v>
      </c>
      <c r="C58" s="36" t="s">
        <v>74</v>
      </c>
      <c r="D58" s="34" t="s">
        <v>174</v>
      </c>
      <c r="E58" s="34" t="s">
        <v>175</v>
      </c>
      <c r="F58" s="34">
        <v>2.5</v>
      </c>
      <c r="G58" s="37">
        <f>'Basic Rates'!$J$4</f>
        <v>4000</v>
      </c>
      <c r="H58" s="38">
        <v>687.5</v>
      </c>
    </row>
    <row r="59" ht="20.1" customHeight="1" spans="2:8">
      <c r="B59" s="34">
        <v>1.08000004291534</v>
      </c>
      <c r="C59" s="36" t="s">
        <v>208</v>
      </c>
      <c r="D59" s="34" t="s">
        <v>209</v>
      </c>
      <c r="E59" s="457" t="s">
        <v>175</v>
      </c>
      <c r="F59" s="34">
        <v>2.5</v>
      </c>
      <c r="G59" s="37">
        <f>'Basic Rates'!$J$10</f>
        <v>2300</v>
      </c>
      <c r="H59" s="38">
        <v>500</v>
      </c>
    </row>
    <row r="60" ht="28.5" customHeight="1" spans="2:8">
      <c r="B60" s="34">
        <v>1.0900000333786</v>
      </c>
      <c r="C60" s="36" t="s">
        <v>1167</v>
      </c>
      <c r="D60" s="457" t="s">
        <v>676</v>
      </c>
      <c r="E60" s="457" t="s">
        <v>676</v>
      </c>
      <c r="F60" s="457" t="s">
        <v>676</v>
      </c>
      <c r="G60" s="457" t="s">
        <v>676</v>
      </c>
      <c r="H60" s="38">
        <f>(H58+H59)*3/100</f>
        <v>35.625</v>
      </c>
    </row>
    <row r="61" ht="20.1" customHeight="1" spans="4:8">
      <c r="D61" s="39" t="s">
        <v>579</v>
      </c>
      <c r="E61" s="40">
        <f>$F$50</f>
        <v>10</v>
      </c>
      <c r="F61" s="40" t="str">
        <f>$G$50</f>
        <v>Sqr</v>
      </c>
      <c r="G61" s="41"/>
      <c r="H61" s="38">
        <f>SUM(H52:H60)</f>
        <v>1589.455</v>
      </c>
    </row>
    <row r="62" ht="20.1" customHeight="1" spans="4:8">
      <c r="D62" s="39" t="s">
        <v>580</v>
      </c>
      <c r="E62" s="40" t="str">
        <f>$G$50</f>
        <v>Sqr</v>
      </c>
      <c r="F62" s="40"/>
      <c r="G62" s="41"/>
      <c r="H62" s="38">
        <f>H61/E61</f>
        <v>158.9455</v>
      </c>
    </row>
    <row r="63" s="4" customFormat="1" ht="20.1" customHeight="1" spans="1:11">
      <c r="A63" s="42"/>
      <c r="B63" s="43"/>
      <c r="C63" s="43"/>
      <c r="D63" s="44" t="s">
        <v>581</v>
      </c>
      <c r="E63" s="45"/>
      <c r="F63" s="45"/>
      <c r="G63" s="46" t="s">
        <v>757</v>
      </c>
      <c r="H63" s="47">
        <f>ROUND(H62,0)</f>
        <v>159</v>
      </c>
      <c r="K63" s="58"/>
    </row>
    <row r="64" s="4" customFormat="1" ht="20.1" customHeight="1" spans="1:11">
      <c r="A64" s="42"/>
      <c r="B64" s="43"/>
      <c r="C64" s="43"/>
      <c r="D64" s="44" t="s">
        <v>581</v>
      </c>
      <c r="E64" s="45"/>
      <c r="F64" s="45"/>
      <c r="G64" s="46" t="s">
        <v>583</v>
      </c>
      <c r="H64" s="47">
        <f>H63/100</f>
        <v>1.59</v>
      </c>
      <c r="K64" s="58"/>
    </row>
    <row r="65" s="4" customFormat="1" ht="20.1" customHeight="1" spans="1:11">
      <c r="A65" s="42"/>
      <c r="B65" s="43"/>
      <c r="C65" s="6"/>
      <c r="D65" s="44" t="s">
        <v>581</v>
      </c>
      <c r="E65" s="45"/>
      <c r="F65" s="45"/>
      <c r="G65" s="46" t="s">
        <v>584</v>
      </c>
      <c r="H65" s="47">
        <f>H64*10.76</f>
        <v>17.1084</v>
      </c>
      <c r="K65" s="58"/>
    </row>
    <row r="66" s="4" customFormat="1" ht="15.75" customHeight="1" spans="1:8">
      <c r="A66" s="42"/>
      <c r="B66" s="42"/>
      <c r="C66" s="42"/>
      <c r="D66" s="50"/>
      <c r="E66" s="51"/>
      <c r="F66" s="51"/>
      <c r="G66" s="52"/>
      <c r="H66" s="53"/>
    </row>
    <row r="67" s="2" customFormat="1" ht="17.25" customHeight="1" spans="1:9">
      <c r="A67" s="29" t="s">
        <v>1168</v>
      </c>
      <c r="B67" s="29"/>
      <c r="C67" s="30" t="s">
        <v>1169</v>
      </c>
      <c r="D67" s="30"/>
      <c r="E67" s="30"/>
      <c r="F67" s="30"/>
      <c r="G67" s="30"/>
      <c r="H67" s="30"/>
      <c r="I67" s="57"/>
    </row>
    <row r="68" s="3" customFormat="1" ht="13.5" customHeight="1" spans="4:8">
      <c r="D68" s="31"/>
      <c r="E68" s="32" t="s">
        <v>570</v>
      </c>
      <c r="F68" s="31">
        <v>10</v>
      </c>
      <c r="G68" s="32" t="s">
        <v>571</v>
      </c>
      <c r="H68" s="33"/>
    </row>
    <row r="69" ht="15" customHeight="1" spans="2:8">
      <c r="B69" s="34" t="s">
        <v>194</v>
      </c>
      <c r="C69" s="34" t="s">
        <v>573</v>
      </c>
      <c r="D69" s="34" t="s">
        <v>574</v>
      </c>
      <c r="E69" s="34" t="s">
        <v>6</v>
      </c>
      <c r="F69" s="34" t="s">
        <v>575</v>
      </c>
      <c r="G69" s="34" t="s">
        <v>576</v>
      </c>
      <c r="H69" s="35" t="s">
        <v>577</v>
      </c>
    </row>
    <row r="70" ht="20.1" customHeight="1" spans="2:8">
      <c r="B70" s="34">
        <v>1.00999999046326</v>
      </c>
      <c r="C70" s="36" t="s">
        <v>214</v>
      </c>
      <c r="D70" s="34" t="s">
        <v>215</v>
      </c>
      <c r="E70" s="457" t="s">
        <v>216</v>
      </c>
      <c r="F70" s="34">
        <v>0.5</v>
      </c>
      <c r="G70" s="37">
        <f>'Basic Rates'!$E$12</f>
        <v>300</v>
      </c>
      <c r="H70" s="38">
        <f>G70*F70</f>
        <v>150</v>
      </c>
    </row>
    <row r="71" ht="20.1" customHeight="1" spans="2:8">
      <c r="B71" s="34">
        <v>1.01999998092651</v>
      </c>
      <c r="C71" s="36" t="s">
        <v>431</v>
      </c>
      <c r="D71" s="34" t="s">
        <v>432</v>
      </c>
      <c r="E71" s="457" t="s">
        <v>199</v>
      </c>
      <c r="F71" s="34">
        <v>2</v>
      </c>
      <c r="G71" s="37">
        <f>'Basic Rates'!$E$115</f>
        <v>10</v>
      </c>
      <c r="H71" s="38">
        <f t="shared" ref="H71:H77" si="1">G71*F71</f>
        <v>20</v>
      </c>
    </row>
    <row r="72" ht="20.1" customHeight="1" spans="2:8">
      <c r="B72" s="34">
        <v>1.02999997138977</v>
      </c>
      <c r="C72" s="36" t="s">
        <v>542</v>
      </c>
      <c r="D72" s="34" t="s">
        <v>543</v>
      </c>
      <c r="E72" s="34" t="s">
        <v>199</v>
      </c>
      <c r="F72" s="34">
        <v>0.5</v>
      </c>
      <c r="G72" s="37">
        <f>'Basic Rates'!$E$170</f>
        <v>15</v>
      </c>
      <c r="H72" s="38">
        <f t="shared" si="1"/>
        <v>7.5</v>
      </c>
    </row>
    <row r="73" ht="20.1" customHeight="1" spans="2:8">
      <c r="B73" s="34">
        <v>1.03999996185303</v>
      </c>
      <c r="C73" s="36" t="s">
        <v>210</v>
      </c>
      <c r="D73" s="34" t="s">
        <v>211</v>
      </c>
      <c r="E73" s="34" t="s">
        <v>212</v>
      </c>
      <c r="F73" s="34">
        <v>2</v>
      </c>
      <c r="G73" s="37">
        <f>'Basic Rates'!$E$11</f>
        <v>10</v>
      </c>
      <c r="H73" s="38">
        <f t="shared" si="1"/>
        <v>20</v>
      </c>
    </row>
    <row r="74" ht="20.1" customHeight="1" spans="2:8">
      <c r="B74" s="34">
        <v>1.04999995231628</v>
      </c>
      <c r="C74" s="36" t="s">
        <v>1158</v>
      </c>
      <c r="D74" s="34" t="s">
        <v>244</v>
      </c>
      <c r="E74" s="457" t="s">
        <v>194</v>
      </c>
      <c r="F74" s="34">
        <v>0.333</v>
      </c>
      <c r="G74" s="37">
        <f>'Basic Rates'!$E$24</f>
        <v>2350</v>
      </c>
      <c r="H74" s="38">
        <f t="shared" si="1"/>
        <v>782.55</v>
      </c>
    </row>
    <row r="75" ht="20.1" customHeight="1" spans="2:8">
      <c r="B75" s="34">
        <v>1.05999994277954</v>
      </c>
      <c r="C75" s="36" t="s">
        <v>36</v>
      </c>
      <c r="D75" s="34" t="s">
        <v>525</v>
      </c>
      <c r="E75" s="457" t="s">
        <v>173</v>
      </c>
      <c r="F75" s="34">
        <v>10</v>
      </c>
      <c r="G75" s="37">
        <f>'Basic Rates'!$E$161</f>
        <v>0.3</v>
      </c>
      <c r="H75" s="38">
        <f t="shared" si="1"/>
        <v>3</v>
      </c>
    </row>
    <row r="76" ht="20.1" customHeight="1" spans="2:8">
      <c r="B76" s="34">
        <v>1.07000005245209</v>
      </c>
      <c r="C76" s="36" t="s">
        <v>74</v>
      </c>
      <c r="D76" s="34" t="s">
        <v>174</v>
      </c>
      <c r="E76" s="34" t="s">
        <v>175</v>
      </c>
      <c r="F76" s="34">
        <v>3</v>
      </c>
      <c r="G76" s="37">
        <f>'Basic Rates'!$J$4</f>
        <v>4000</v>
      </c>
      <c r="H76" s="38">
        <f t="shared" si="1"/>
        <v>12000</v>
      </c>
    </row>
    <row r="77" ht="20.1" customHeight="1" spans="2:8">
      <c r="B77" s="34">
        <v>1.08000004291534</v>
      </c>
      <c r="C77" s="36" t="s">
        <v>208</v>
      </c>
      <c r="D77" s="34" t="s">
        <v>209</v>
      </c>
      <c r="E77" s="457" t="s">
        <v>175</v>
      </c>
      <c r="F77" s="34">
        <v>3</v>
      </c>
      <c r="G77" s="37">
        <f>'Basic Rates'!$J$10</f>
        <v>2300</v>
      </c>
      <c r="H77" s="38">
        <f t="shared" si="1"/>
        <v>6900</v>
      </c>
    </row>
    <row r="78" ht="20.1" customHeight="1" spans="2:8">
      <c r="B78" s="34">
        <v>1.0900000333786</v>
      </c>
      <c r="C78" s="36" t="s">
        <v>1167</v>
      </c>
      <c r="D78" s="457" t="s">
        <v>676</v>
      </c>
      <c r="E78" s="457" t="s">
        <v>676</v>
      </c>
      <c r="F78" s="457" t="s">
        <v>676</v>
      </c>
      <c r="G78" s="457" t="s">
        <v>676</v>
      </c>
      <c r="H78" s="38">
        <f>(H76+H77)*3/100</f>
        <v>567</v>
      </c>
    </row>
    <row r="79" ht="20.1" customHeight="1" spans="4:8">
      <c r="D79" s="39" t="s">
        <v>579</v>
      </c>
      <c r="E79" s="40">
        <f>$F$68</f>
        <v>10</v>
      </c>
      <c r="F79" s="40" t="str">
        <f>$G$68</f>
        <v>Sqr</v>
      </c>
      <c r="G79" s="41"/>
      <c r="H79" s="38">
        <f>SUM(H70:H78)</f>
        <v>20450.05</v>
      </c>
    </row>
    <row r="80" ht="20.1" customHeight="1" spans="4:8">
      <c r="D80" s="39" t="s">
        <v>580</v>
      </c>
      <c r="E80" s="40" t="str">
        <f>$G$68</f>
        <v>Sqr</v>
      </c>
      <c r="F80" s="40"/>
      <c r="G80" s="41"/>
      <c r="H80" s="38">
        <f>H79/E79</f>
        <v>2045.005</v>
      </c>
    </row>
    <row r="81" s="4" customFormat="1" ht="20.1" customHeight="1" spans="1:11">
      <c r="A81" s="42"/>
      <c r="B81" s="43"/>
      <c r="C81" s="43"/>
      <c r="D81" s="44" t="s">
        <v>581</v>
      </c>
      <c r="E81" s="45"/>
      <c r="F81" s="45"/>
      <c r="G81" s="46" t="s">
        <v>654</v>
      </c>
      <c r="H81" s="47">
        <f>ROUND(H80,0)</f>
        <v>2045</v>
      </c>
      <c r="K81" s="58"/>
    </row>
    <row r="82" s="4" customFormat="1" ht="20.1" customHeight="1" spans="1:11">
      <c r="A82" s="42"/>
      <c r="B82" s="43"/>
      <c r="C82" s="43"/>
      <c r="D82" s="44" t="s">
        <v>581</v>
      </c>
      <c r="E82" s="45"/>
      <c r="F82" s="45"/>
      <c r="G82" s="46" t="s">
        <v>583</v>
      </c>
      <c r="H82" s="47">
        <f>H81/100</f>
        <v>20.45</v>
      </c>
      <c r="K82" s="58"/>
    </row>
    <row r="83" s="4" customFormat="1" ht="20.1" customHeight="1" spans="1:11">
      <c r="A83" s="42"/>
      <c r="B83" s="43"/>
      <c r="C83" s="6"/>
      <c r="D83" s="44" t="s">
        <v>581</v>
      </c>
      <c r="E83" s="45"/>
      <c r="F83" s="45"/>
      <c r="G83" s="46" t="s">
        <v>584</v>
      </c>
      <c r="H83" s="47">
        <f>H82*10.76</f>
        <v>220.042</v>
      </c>
      <c r="K83" s="58"/>
    </row>
    <row r="84" s="4" customFormat="1" ht="15.75" customHeight="1" spans="1:8">
      <c r="A84" s="42"/>
      <c r="B84" s="42"/>
      <c r="C84" s="42"/>
      <c r="D84" s="50"/>
      <c r="E84" s="51"/>
      <c r="F84" s="51"/>
      <c r="G84" s="52"/>
      <c r="H84" s="53"/>
    </row>
    <row r="85" s="2" customFormat="1" ht="15" customHeight="1" spans="1:9">
      <c r="A85" s="29" t="s">
        <v>1170</v>
      </c>
      <c r="B85" s="29"/>
      <c r="C85" s="30" t="s">
        <v>1171</v>
      </c>
      <c r="D85" s="30"/>
      <c r="E85" s="30"/>
      <c r="F85" s="30"/>
      <c r="G85" s="30"/>
      <c r="H85" s="30"/>
      <c r="I85" s="57"/>
    </row>
    <row r="86" s="3" customFormat="1" ht="13.5" customHeight="1" spans="4:8">
      <c r="D86" s="31"/>
      <c r="E86" s="32" t="s">
        <v>570</v>
      </c>
      <c r="F86" s="31">
        <v>10</v>
      </c>
      <c r="G86" s="32" t="s">
        <v>571</v>
      </c>
      <c r="H86" s="33"/>
    </row>
    <row r="87" ht="15" customHeight="1" spans="2:8">
      <c r="B87" s="34" t="s">
        <v>194</v>
      </c>
      <c r="C87" s="34" t="s">
        <v>573</v>
      </c>
      <c r="D87" s="34" t="s">
        <v>574</v>
      </c>
      <c r="E87" s="34" t="s">
        <v>6</v>
      </c>
      <c r="F87" s="34" t="s">
        <v>575</v>
      </c>
      <c r="G87" s="34" t="s">
        <v>576</v>
      </c>
      <c r="H87" s="35" t="s">
        <v>577</v>
      </c>
    </row>
    <row r="88" ht="20.1" customHeight="1" spans="2:8">
      <c r="B88" s="34">
        <v>1.00999999046326</v>
      </c>
      <c r="C88" s="36" t="s">
        <v>24</v>
      </c>
      <c r="D88" s="34" t="s">
        <v>253</v>
      </c>
      <c r="E88" s="457" t="s">
        <v>254</v>
      </c>
      <c r="F88" s="34">
        <v>0.625</v>
      </c>
      <c r="G88" s="37">
        <f>'Basic Rates'!E29</f>
        <v>2400</v>
      </c>
      <c r="H88" s="38">
        <f>G88*F88</f>
        <v>1500</v>
      </c>
    </row>
    <row r="89" ht="20.1" customHeight="1" spans="2:8">
      <c r="B89" s="34">
        <v>1.01999998092651</v>
      </c>
      <c r="C89" s="36" t="s">
        <v>1172</v>
      </c>
      <c r="D89" s="34" t="s">
        <v>270</v>
      </c>
      <c r="E89" s="457" t="s">
        <v>194</v>
      </c>
      <c r="F89" s="34">
        <v>1</v>
      </c>
      <c r="G89" s="37">
        <f>'Basic Rates'!E37</f>
        <v>45</v>
      </c>
      <c r="H89" s="38">
        <f>G89*F89</f>
        <v>45</v>
      </c>
    </row>
    <row r="90" ht="20.1" customHeight="1" spans="2:8">
      <c r="B90" s="34">
        <v>1.02999997138977</v>
      </c>
      <c r="C90" s="36" t="s">
        <v>36</v>
      </c>
      <c r="D90" s="34" t="s">
        <v>525</v>
      </c>
      <c r="E90" s="34" t="s">
        <v>173</v>
      </c>
      <c r="F90" s="34">
        <v>5</v>
      </c>
      <c r="G90" s="37">
        <f>'Basic Rates'!$E$161</f>
        <v>0.3</v>
      </c>
      <c r="H90" s="38">
        <f>G90*F90</f>
        <v>1.5</v>
      </c>
    </row>
    <row r="91" ht="20.1" customHeight="1" spans="2:8">
      <c r="B91" s="34">
        <v>1.03999996185303</v>
      </c>
      <c r="C91" s="36" t="s">
        <v>74</v>
      </c>
      <c r="D91" s="34" t="s">
        <v>174</v>
      </c>
      <c r="E91" s="34" t="s">
        <v>175</v>
      </c>
      <c r="F91" s="34">
        <v>2</v>
      </c>
      <c r="G91" s="37">
        <f>'Basic Rates'!$J$4</f>
        <v>4000</v>
      </c>
      <c r="H91" s="38">
        <f>G91*F91</f>
        <v>8000</v>
      </c>
    </row>
    <row r="92" ht="20.1" customHeight="1" spans="2:8">
      <c r="B92" s="34">
        <v>1.04999995231628</v>
      </c>
      <c r="C92" s="36" t="s">
        <v>208</v>
      </c>
      <c r="D92" s="34" t="s">
        <v>209</v>
      </c>
      <c r="E92" s="457" t="s">
        <v>175</v>
      </c>
      <c r="F92" s="34">
        <v>2</v>
      </c>
      <c r="G92" s="37">
        <f>'Basic Rates'!$J$10</f>
        <v>2300</v>
      </c>
      <c r="H92" s="38">
        <f>G92*F92</f>
        <v>4600</v>
      </c>
    </row>
    <row r="93" ht="26.25" customHeight="1" spans="2:8">
      <c r="B93" s="34">
        <v>1.05999994277954</v>
      </c>
      <c r="C93" s="36" t="s">
        <v>1098</v>
      </c>
      <c r="D93" s="457" t="s">
        <v>676</v>
      </c>
      <c r="E93" s="457" t="s">
        <v>676</v>
      </c>
      <c r="F93" s="457" t="s">
        <v>676</v>
      </c>
      <c r="G93" s="457" t="s">
        <v>676</v>
      </c>
      <c r="H93" s="38">
        <f>(H91+H92)*3/100</f>
        <v>378</v>
      </c>
    </row>
    <row r="94" ht="20.1" customHeight="1" spans="4:8">
      <c r="D94" s="39" t="s">
        <v>579</v>
      </c>
      <c r="E94" s="40">
        <f>$F$86</f>
        <v>10</v>
      </c>
      <c r="F94" s="40" t="str">
        <f>$G$86</f>
        <v>Sqr</v>
      </c>
      <c r="G94" s="41"/>
      <c r="H94" s="38">
        <f>SUM(H88:H93)</f>
        <v>14524.5</v>
      </c>
    </row>
    <row r="95" ht="20.1" customHeight="1" spans="4:8">
      <c r="D95" s="39" t="s">
        <v>580</v>
      </c>
      <c r="E95" s="40" t="str">
        <f>$G$86</f>
        <v>Sqr</v>
      </c>
      <c r="F95" s="40"/>
      <c r="G95" s="41"/>
      <c r="H95" s="38">
        <f>H94/E94</f>
        <v>1452.45</v>
      </c>
    </row>
    <row r="96" s="4" customFormat="1" ht="20.1" customHeight="1" spans="1:11">
      <c r="A96" s="42"/>
      <c r="B96" s="43"/>
      <c r="C96" s="43"/>
      <c r="D96" s="44" t="s">
        <v>581</v>
      </c>
      <c r="E96" s="45"/>
      <c r="F96" s="45"/>
      <c r="G96" s="46" t="s">
        <v>757</v>
      </c>
      <c r="H96" s="47">
        <f>ROUND(H95,0)</f>
        <v>1452</v>
      </c>
      <c r="K96" s="58"/>
    </row>
    <row r="97" s="4" customFormat="1" ht="20.1" customHeight="1" spans="1:11">
      <c r="A97" s="42"/>
      <c r="B97" s="43"/>
      <c r="C97" s="43"/>
      <c r="D97" s="44" t="s">
        <v>581</v>
      </c>
      <c r="E97" s="45"/>
      <c r="F97" s="45"/>
      <c r="G97" s="46" t="s">
        <v>583</v>
      </c>
      <c r="H97" s="47">
        <f>H96/100</f>
        <v>14.52</v>
      </c>
      <c r="K97" s="58"/>
    </row>
    <row r="98" s="4" customFormat="1" ht="20.1" customHeight="1" spans="1:11">
      <c r="A98" s="42"/>
      <c r="B98" s="43"/>
      <c r="C98" s="6"/>
      <c r="D98" s="44" t="s">
        <v>581</v>
      </c>
      <c r="E98" s="45"/>
      <c r="F98" s="45"/>
      <c r="G98" s="46" t="s">
        <v>584</v>
      </c>
      <c r="H98" s="47">
        <f>H97*10.76</f>
        <v>156.2352</v>
      </c>
      <c r="K98" s="58"/>
    </row>
    <row r="99" s="4" customFormat="1" ht="20.1" customHeight="1" spans="1:8">
      <c r="A99" s="42"/>
      <c r="B99" s="42"/>
      <c r="D99" s="48" t="s">
        <v>746</v>
      </c>
      <c r="E99" s="49"/>
      <c r="F99" s="49"/>
      <c r="G99" s="46" t="s">
        <v>584</v>
      </c>
      <c r="H99" s="47">
        <f>H98</f>
        <v>156.2352</v>
      </c>
    </row>
    <row r="100" s="4" customFormat="1" ht="20.1" customHeight="1" spans="1:8">
      <c r="A100" s="42"/>
      <c r="B100" s="42"/>
      <c r="D100" s="48" t="s">
        <v>747</v>
      </c>
      <c r="E100" s="49"/>
      <c r="F100" s="49"/>
      <c r="G100" s="46" t="s">
        <v>584</v>
      </c>
      <c r="H100" s="47">
        <f>H99*1.1</f>
        <v>171.85872</v>
      </c>
    </row>
    <row r="101" s="4" customFormat="1" ht="20.1" customHeight="1" spans="1:8">
      <c r="A101" s="42"/>
      <c r="B101" s="42"/>
      <c r="D101" s="48" t="s">
        <v>748</v>
      </c>
      <c r="E101" s="49"/>
      <c r="F101" s="49"/>
      <c r="G101" s="46" t="s">
        <v>584</v>
      </c>
      <c r="H101" s="47">
        <f>H100*1.1</f>
        <v>189.044592</v>
      </c>
    </row>
    <row r="102" s="4" customFormat="1" ht="20.1" customHeight="1" spans="1:8">
      <c r="A102" s="42"/>
      <c r="B102" s="42"/>
      <c r="D102" s="48" t="s">
        <v>749</v>
      </c>
      <c r="E102" s="49"/>
      <c r="F102" s="49"/>
      <c r="G102" s="46" t="s">
        <v>584</v>
      </c>
      <c r="H102" s="47">
        <f>H101*1.1</f>
        <v>207.9490512</v>
      </c>
    </row>
    <row r="103" s="4" customFormat="1" ht="20.1" customHeight="1" spans="1:8">
      <c r="A103" s="42"/>
      <c r="B103" s="42"/>
      <c r="C103" s="42"/>
      <c r="D103" s="50"/>
      <c r="E103" s="51"/>
      <c r="F103" s="51"/>
      <c r="G103" s="52"/>
      <c r="H103" s="53"/>
    </row>
    <row r="104" s="1" customFormat="1" ht="20.25" customHeight="1" spans="1:9">
      <c r="A104" s="59" t="s">
        <v>1173</v>
      </c>
      <c r="B104" s="22"/>
      <c r="C104" s="22"/>
      <c r="D104" s="22"/>
      <c r="E104" s="22"/>
      <c r="F104" s="22"/>
      <c r="G104" s="22"/>
      <c r="H104" s="60"/>
      <c r="I104" s="56"/>
    </row>
    <row r="105" s="1" customFormat="1" ht="9" customHeight="1" spans="2:8">
      <c r="B105" s="25"/>
      <c r="C105" s="26"/>
      <c r="D105" s="26"/>
      <c r="E105" s="26"/>
      <c r="F105" s="26"/>
      <c r="G105" s="27"/>
      <c r="H105" s="28"/>
    </row>
    <row r="106" s="2" customFormat="1" ht="24.75" customHeight="1" spans="1:9">
      <c r="A106" s="29" t="s">
        <v>1174</v>
      </c>
      <c r="B106" s="29"/>
      <c r="C106" s="30" t="s">
        <v>1175</v>
      </c>
      <c r="D106" s="30"/>
      <c r="E106" s="30"/>
      <c r="F106" s="30"/>
      <c r="G106" s="30"/>
      <c r="H106" s="30"/>
      <c r="I106" s="57"/>
    </row>
    <row r="107" s="3" customFormat="1" ht="13.5" customHeight="1" spans="4:8">
      <c r="D107" s="31"/>
      <c r="E107" s="32" t="s">
        <v>570</v>
      </c>
      <c r="F107" s="31">
        <v>1</v>
      </c>
      <c r="G107" s="32" t="s">
        <v>761</v>
      </c>
      <c r="H107" s="33"/>
    </row>
    <row r="108" ht="15" customHeight="1" spans="2:8">
      <c r="B108" s="34" t="s">
        <v>194</v>
      </c>
      <c r="C108" s="34" t="s">
        <v>573</v>
      </c>
      <c r="D108" s="34" t="s">
        <v>574</v>
      </c>
      <c r="E108" s="34" t="s">
        <v>6</v>
      </c>
      <c r="F108" s="34" t="s">
        <v>575</v>
      </c>
      <c r="G108" s="34" t="s">
        <v>576</v>
      </c>
      <c r="H108" s="35" t="s">
        <v>577</v>
      </c>
    </row>
    <row r="109" ht="20.1" customHeight="1" spans="2:8">
      <c r="B109" s="34">
        <v>1.00999999046326</v>
      </c>
      <c r="C109" s="36" t="s">
        <v>356</v>
      </c>
      <c r="D109" s="34" t="s">
        <v>357</v>
      </c>
      <c r="E109" s="457" t="s">
        <v>180</v>
      </c>
      <c r="F109" s="34">
        <v>0.9</v>
      </c>
      <c r="G109" s="37">
        <f>'Basic Rates'!$E$78</f>
        <v>805</v>
      </c>
      <c r="H109" s="38">
        <f>G109*F109</f>
        <v>724.5</v>
      </c>
    </row>
    <row r="110" ht="20.1" customHeight="1" spans="2:8">
      <c r="B110" s="34">
        <v>1.01999998092651</v>
      </c>
      <c r="C110" s="36" t="s">
        <v>289</v>
      </c>
      <c r="D110" s="34" t="s">
        <v>290</v>
      </c>
      <c r="E110" s="457" t="s">
        <v>180</v>
      </c>
      <c r="F110" s="34">
        <v>1.5</v>
      </c>
      <c r="G110" s="37">
        <f>'Basic Rates'!$E$46</f>
        <v>2670</v>
      </c>
      <c r="H110" s="38">
        <f>G110*F110</f>
        <v>4005</v>
      </c>
    </row>
    <row r="111" ht="20.1" customHeight="1" spans="2:8">
      <c r="B111" s="34">
        <v>1.02999997138977</v>
      </c>
      <c r="C111" s="36" t="s">
        <v>36</v>
      </c>
      <c r="D111" s="34" t="s">
        <v>525</v>
      </c>
      <c r="E111" s="34" t="s">
        <v>173</v>
      </c>
      <c r="F111" s="34">
        <v>0.1</v>
      </c>
      <c r="G111" s="37">
        <f>'Basic Rates'!$E$161</f>
        <v>0.3</v>
      </c>
      <c r="H111" s="38">
        <f>G111*F111</f>
        <v>0.03</v>
      </c>
    </row>
    <row r="112" ht="20.1" customHeight="1" spans="2:8">
      <c r="B112" s="34">
        <v>1.03999996185303</v>
      </c>
      <c r="C112" s="36" t="s">
        <v>1158</v>
      </c>
      <c r="D112" s="34" t="s">
        <v>244</v>
      </c>
      <c r="E112" s="34" t="s">
        <v>194</v>
      </c>
      <c r="F112" s="34">
        <v>0.1</v>
      </c>
      <c r="G112" s="37">
        <f>'Basic Rates'!E24</f>
        <v>2350</v>
      </c>
      <c r="H112" s="38">
        <f>G112*F112</f>
        <v>235</v>
      </c>
    </row>
    <row r="113" ht="20.1" customHeight="1" spans="2:8">
      <c r="B113" s="34">
        <v>1.04999995231628</v>
      </c>
      <c r="C113" s="36" t="s">
        <v>74</v>
      </c>
      <c r="D113" s="34" t="s">
        <v>174</v>
      </c>
      <c r="E113" s="457" t="s">
        <v>175</v>
      </c>
      <c r="F113" s="34">
        <v>1.75</v>
      </c>
      <c r="G113" s="37">
        <f>'Basic Rates'!$J$4</f>
        <v>4000</v>
      </c>
      <c r="H113" s="38">
        <f>G113*F113</f>
        <v>7000</v>
      </c>
    </row>
    <row r="114" ht="27" customHeight="1" spans="2:8">
      <c r="B114" s="34">
        <v>1.05999994277954</v>
      </c>
      <c r="C114" s="36" t="s">
        <v>1164</v>
      </c>
      <c r="D114" s="457" t="s">
        <v>676</v>
      </c>
      <c r="E114" s="457" t="s">
        <v>676</v>
      </c>
      <c r="F114" s="457" t="s">
        <v>676</v>
      </c>
      <c r="G114" s="457" t="s">
        <v>676</v>
      </c>
      <c r="H114" s="38">
        <f>(H113)*3/100</f>
        <v>210</v>
      </c>
    </row>
    <row r="115" ht="20.1" customHeight="1" spans="4:8">
      <c r="D115" s="39" t="s">
        <v>579</v>
      </c>
      <c r="E115" s="40">
        <f>$F$107</f>
        <v>1</v>
      </c>
      <c r="F115" s="40" t="str">
        <f>$G$107</f>
        <v>Sq</v>
      </c>
      <c r="G115" s="41"/>
      <c r="H115" s="38">
        <f>SUM(H109:H114)</f>
        <v>12174.53</v>
      </c>
    </row>
    <row r="116" ht="20.1" customHeight="1" spans="4:8">
      <c r="D116" s="39" t="s">
        <v>580</v>
      </c>
      <c r="E116" s="40" t="str">
        <f>$G$107</f>
        <v>Sq</v>
      </c>
      <c r="F116" s="40"/>
      <c r="G116" s="41"/>
      <c r="H116" s="38">
        <f>H115/E115</f>
        <v>12174.53</v>
      </c>
    </row>
    <row r="117" s="4" customFormat="1" ht="20.1" customHeight="1" spans="1:11">
      <c r="A117" s="42"/>
      <c r="B117" s="43"/>
      <c r="C117" s="43"/>
      <c r="D117" s="44" t="s">
        <v>581</v>
      </c>
      <c r="E117" s="45"/>
      <c r="F117" s="45"/>
      <c r="G117" s="46" t="s">
        <v>757</v>
      </c>
      <c r="H117" s="47">
        <f>ROUND(H116,0)</f>
        <v>12175</v>
      </c>
      <c r="K117" s="58"/>
    </row>
    <row r="118" s="4" customFormat="1" ht="20.1" customHeight="1" spans="1:11">
      <c r="A118" s="42"/>
      <c r="B118" s="43"/>
      <c r="C118" s="43"/>
      <c r="D118" s="44" t="s">
        <v>581</v>
      </c>
      <c r="E118" s="45"/>
      <c r="F118" s="45"/>
      <c r="G118" s="46" t="s">
        <v>583</v>
      </c>
      <c r="H118" s="47">
        <f>H117/100</f>
        <v>121.75</v>
      </c>
      <c r="K118" s="58"/>
    </row>
    <row r="119" s="4" customFormat="1" ht="20.1" customHeight="1" spans="1:11">
      <c r="A119" s="42"/>
      <c r="B119" s="43"/>
      <c r="C119" s="6"/>
      <c r="D119" s="44" t="s">
        <v>581</v>
      </c>
      <c r="E119" s="45"/>
      <c r="F119" s="45"/>
      <c r="G119" s="46" t="s">
        <v>584</v>
      </c>
      <c r="H119" s="47">
        <f>H118*10.76</f>
        <v>1310.03</v>
      </c>
      <c r="K119" s="58"/>
    </row>
    <row r="120" s="4" customFormat="1" ht="20.1" customHeight="1" spans="1:8">
      <c r="A120" s="42"/>
      <c r="B120" s="42"/>
      <c r="D120" s="48" t="s">
        <v>746</v>
      </c>
      <c r="E120" s="49"/>
      <c r="F120" s="49"/>
      <c r="G120" s="46" t="s">
        <v>584</v>
      </c>
      <c r="H120" s="47">
        <f>H119</f>
        <v>1310.03</v>
      </c>
    </row>
    <row r="121" s="4" customFormat="1" ht="20.1" customHeight="1" spans="1:8">
      <c r="A121" s="42"/>
      <c r="B121" s="42"/>
      <c r="D121" s="48" t="s">
        <v>747</v>
      </c>
      <c r="E121" s="49"/>
      <c r="F121" s="49"/>
      <c r="G121" s="46" t="s">
        <v>584</v>
      </c>
      <c r="H121" s="47">
        <f>H120*1.1</f>
        <v>1441.033</v>
      </c>
    </row>
    <row r="122" s="4" customFormat="1" ht="20.1" customHeight="1" spans="1:8">
      <c r="A122" s="42"/>
      <c r="B122" s="42"/>
      <c r="D122" s="48" t="s">
        <v>748</v>
      </c>
      <c r="E122" s="49"/>
      <c r="F122" s="49"/>
      <c r="G122" s="46" t="s">
        <v>584</v>
      </c>
      <c r="H122" s="47">
        <f>H121*1.1</f>
        <v>1585.1363</v>
      </c>
    </row>
    <row r="123" s="4" customFormat="1" ht="20.1" customHeight="1" spans="1:8">
      <c r="A123" s="42"/>
      <c r="B123" s="42"/>
      <c r="D123" s="48" t="s">
        <v>749</v>
      </c>
      <c r="E123" s="49"/>
      <c r="F123" s="49"/>
      <c r="G123" s="46" t="s">
        <v>584</v>
      </c>
      <c r="H123" s="47">
        <f>H122*1.1</f>
        <v>1743.64993</v>
      </c>
    </row>
    <row r="124" s="4" customFormat="1" ht="20.1" customHeight="1" spans="1:8">
      <c r="A124" s="42"/>
      <c r="B124" s="42"/>
      <c r="C124" s="42"/>
      <c r="D124" s="50"/>
      <c r="E124" s="51"/>
      <c r="F124" s="51"/>
      <c r="G124" s="52"/>
      <c r="H124" s="53"/>
    </row>
    <row r="125" s="1" customFormat="1" ht="20.25" customHeight="1" spans="1:9">
      <c r="A125" s="19"/>
      <c r="B125" s="20"/>
      <c r="C125" s="21"/>
      <c r="D125" s="22" t="s">
        <v>1154</v>
      </c>
      <c r="E125" s="21"/>
      <c r="F125" s="21"/>
      <c r="G125" s="23"/>
      <c r="H125" s="24"/>
      <c r="I125" s="56"/>
    </row>
    <row r="126" s="1" customFormat="1" ht="9" customHeight="1" spans="2:8">
      <c r="B126" s="25"/>
      <c r="C126" s="26"/>
      <c r="D126" s="26"/>
      <c r="E126" s="26"/>
      <c r="F126" s="26"/>
      <c r="G126" s="27"/>
      <c r="H126" s="28"/>
    </row>
    <row r="127" s="2" customFormat="1" ht="24.95" customHeight="1" spans="1:9">
      <c r="A127" s="29" t="s">
        <v>1176</v>
      </c>
      <c r="B127" s="29"/>
      <c r="C127" s="30" t="s">
        <v>1177</v>
      </c>
      <c r="D127" s="30"/>
      <c r="E127" s="30"/>
      <c r="F127" s="30"/>
      <c r="G127" s="30"/>
      <c r="H127" s="30"/>
      <c r="I127" s="57"/>
    </row>
    <row r="128" s="3" customFormat="1" ht="13.5" customHeight="1" spans="4:8">
      <c r="D128" s="31"/>
      <c r="E128" s="32" t="s">
        <v>570</v>
      </c>
      <c r="F128" s="31">
        <v>1</v>
      </c>
      <c r="G128" s="32" t="s">
        <v>571</v>
      </c>
      <c r="H128" s="33"/>
    </row>
    <row r="129" ht="15" customHeight="1" spans="2:8">
      <c r="B129" s="34" t="s">
        <v>194</v>
      </c>
      <c r="C129" s="34" t="s">
        <v>573</v>
      </c>
      <c r="D129" s="34" t="s">
        <v>574</v>
      </c>
      <c r="E129" s="34" t="s">
        <v>6</v>
      </c>
      <c r="F129" s="34" t="s">
        <v>575</v>
      </c>
      <c r="G129" s="34" t="s">
        <v>576</v>
      </c>
      <c r="H129" s="35" t="s">
        <v>577</v>
      </c>
    </row>
    <row r="130" ht="20.45" customHeight="1" spans="2:8">
      <c r="B130" s="34">
        <v>1.00999999046326</v>
      </c>
      <c r="C130" s="36" t="s">
        <v>540</v>
      </c>
      <c r="D130" s="34" t="s">
        <v>541</v>
      </c>
      <c r="E130" s="34" t="s">
        <v>173</v>
      </c>
      <c r="F130" s="34">
        <v>0.605</v>
      </c>
      <c r="G130" s="37">
        <f>'Basic Rates'!$E$169</f>
        <v>450</v>
      </c>
      <c r="H130" s="38">
        <f>G130*F130</f>
        <v>272.25</v>
      </c>
    </row>
    <row r="131" ht="20.45" customHeight="1" spans="2:8">
      <c r="B131" s="34">
        <f>B130+0.01</f>
        <v>1.01999999046326</v>
      </c>
      <c r="C131" s="36" t="s">
        <v>1178</v>
      </c>
      <c r="D131" s="34" t="s">
        <v>242</v>
      </c>
      <c r="E131" s="457" t="s">
        <v>194</v>
      </c>
      <c r="F131" s="34">
        <v>0.1</v>
      </c>
      <c r="G131" s="37">
        <f>'Basic Rates'!E23</f>
        <v>1200</v>
      </c>
      <c r="H131" s="38">
        <f>G131*F131</f>
        <v>120</v>
      </c>
    </row>
    <row r="132" ht="20.45" customHeight="1" spans="2:8">
      <c r="B132" s="34">
        <f>B131+0.01</f>
        <v>1.02999999046326</v>
      </c>
      <c r="C132" s="36" t="s">
        <v>74</v>
      </c>
      <c r="D132" s="34" t="s">
        <v>174</v>
      </c>
      <c r="E132" s="34" t="s">
        <v>175</v>
      </c>
      <c r="F132" s="34">
        <v>0.75</v>
      </c>
      <c r="G132" s="37">
        <f>'Basic Rates'!$J$4</f>
        <v>4000</v>
      </c>
      <c r="H132" s="38">
        <f>G132*F132</f>
        <v>3000</v>
      </c>
    </row>
    <row r="133" ht="20.45" customHeight="1" spans="2:8">
      <c r="B133" s="34">
        <f>B132+0.01</f>
        <v>1.03999999046326</v>
      </c>
      <c r="C133" s="36" t="s">
        <v>208</v>
      </c>
      <c r="D133" s="34" t="s">
        <v>209</v>
      </c>
      <c r="E133" s="457" t="s">
        <v>175</v>
      </c>
      <c r="F133" s="34">
        <v>0.5</v>
      </c>
      <c r="G133" s="37">
        <f>'Basic Rates'!$J$10</f>
        <v>2300</v>
      </c>
      <c r="H133" s="38">
        <f>G133*F133</f>
        <v>1150</v>
      </c>
    </row>
    <row r="134" ht="20.45" customHeight="1" spans="2:8">
      <c r="B134" s="61"/>
      <c r="C134" s="61"/>
      <c r="D134" s="39" t="s">
        <v>579</v>
      </c>
      <c r="E134" s="40">
        <f>$F$128</f>
        <v>1</v>
      </c>
      <c r="F134" s="40" t="str">
        <f>$G$128</f>
        <v>Sqr</v>
      </c>
      <c r="G134" s="41"/>
      <c r="H134" s="38">
        <f>SUM(H130:H133)</f>
        <v>4542.25</v>
      </c>
    </row>
    <row r="135" ht="20.45" customHeight="1" spans="2:8">
      <c r="B135" s="61"/>
      <c r="C135" s="61"/>
      <c r="D135" s="39" t="s">
        <v>580</v>
      </c>
      <c r="E135" s="40" t="str">
        <f>$G$128</f>
        <v>Sqr</v>
      </c>
      <c r="F135" s="40"/>
      <c r="G135" s="41"/>
      <c r="H135" s="38">
        <f>H134/E134</f>
        <v>4542.25</v>
      </c>
    </row>
    <row r="136" s="4" customFormat="1" ht="20.1" customHeight="1" spans="1:11">
      <c r="A136" s="42"/>
      <c r="B136" s="43"/>
      <c r="C136" s="43"/>
      <c r="D136" s="44" t="s">
        <v>581</v>
      </c>
      <c r="E136" s="45"/>
      <c r="F136" s="45"/>
      <c r="G136" s="46" t="s">
        <v>757</v>
      </c>
      <c r="H136" s="47">
        <f>ROUND(H135,0)</f>
        <v>4542</v>
      </c>
      <c r="K136" s="58"/>
    </row>
    <row r="137" s="4" customFormat="1" ht="20.1" customHeight="1" spans="1:11">
      <c r="A137" s="42"/>
      <c r="B137" s="43"/>
      <c r="C137" s="43"/>
      <c r="D137" s="44" t="s">
        <v>581</v>
      </c>
      <c r="E137" s="45"/>
      <c r="F137" s="45"/>
      <c r="G137" s="46" t="s">
        <v>785</v>
      </c>
      <c r="H137" s="47">
        <f>H136/100</f>
        <v>45.42</v>
      </c>
      <c r="K137" s="58"/>
    </row>
    <row r="138" s="4" customFormat="1" ht="20.1" customHeight="1" spans="1:11">
      <c r="A138" s="42"/>
      <c r="B138" s="43"/>
      <c r="C138" s="6"/>
      <c r="D138" s="44" t="s">
        <v>581</v>
      </c>
      <c r="E138" s="45"/>
      <c r="F138" s="45"/>
      <c r="G138" s="46" t="s">
        <v>758</v>
      </c>
      <c r="H138" s="47">
        <f>H137*10.76</f>
        <v>488.7192</v>
      </c>
      <c r="K138" s="58"/>
    </row>
    <row r="139" s="5" customFormat="1" ht="20.1" customHeight="1" spans="1:11">
      <c r="A139" s="62"/>
      <c r="B139" s="63"/>
      <c r="C139" s="63"/>
      <c r="D139" s="64"/>
      <c r="E139" s="65"/>
      <c r="F139" s="65"/>
      <c r="G139" s="66"/>
      <c r="H139" s="67"/>
      <c r="K139" s="69"/>
    </row>
    <row r="140" s="2" customFormat="1" ht="17.25" customHeight="1" spans="1:9">
      <c r="A140" s="29" t="s">
        <v>1179</v>
      </c>
      <c r="B140" s="29"/>
      <c r="C140" s="30" t="s">
        <v>1180</v>
      </c>
      <c r="D140" s="30"/>
      <c r="E140" s="30"/>
      <c r="F140" s="30"/>
      <c r="G140" s="30"/>
      <c r="H140" s="30"/>
      <c r="I140" s="57"/>
    </row>
    <row r="141" s="3" customFormat="1" ht="13.5" customHeight="1" spans="4:8">
      <c r="D141" s="31"/>
      <c r="E141" s="32" t="s">
        <v>570</v>
      </c>
      <c r="F141" s="31">
        <v>1</v>
      </c>
      <c r="G141" s="32" t="s">
        <v>571</v>
      </c>
      <c r="H141" s="33"/>
    </row>
    <row r="142" ht="15" customHeight="1" spans="2:8">
      <c r="B142" s="34" t="s">
        <v>194</v>
      </c>
      <c r="C142" s="34" t="s">
        <v>573</v>
      </c>
      <c r="D142" s="34" t="s">
        <v>574</v>
      </c>
      <c r="E142" s="34" t="s">
        <v>6</v>
      </c>
      <c r="F142" s="34" t="s">
        <v>575</v>
      </c>
      <c r="G142" s="34" t="s">
        <v>576</v>
      </c>
      <c r="H142" s="35" t="s">
        <v>577</v>
      </c>
    </row>
    <row r="143" ht="20.45" customHeight="1" spans="2:8">
      <c r="B143" s="34">
        <v>1.00999999046326</v>
      </c>
      <c r="C143" s="36" t="s">
        <v>540</v>
      </c>
      <c r="D143" s="34" t="s">
        <v>541</v>
      </c>
      <c r="E143" s="457" t="s">
        <v>173</v>
      </c>
      <c r="F143" s="34">
        <v>0.5</v>
      </c>
      <c r="G143" s="37">
        <f>'Basic Rates'!$E$169</f>
        <v>450</v>
      </c>
      <c r="H143" s="38">
        <f>G143*F143</f>
        <v>225</v>
      </c>
    </row>
    <row r="144" ht="20.45" customHeight="1" spans="2:8">
      <c r="B144" s="34">
        <f>B143+0.01</f>
        <v>1.01999999046326</v>
      </c>
      <c r="C144" s="36" t="s">
        <v>245</v>
      </c>
      <c r="D144" s="34" t="s">
        <v>246</v>
      </c>
      <c r="E144" s="457" t="s">
        <v>194</v>
      </c>
      <c r="F144" s="34">
        <v>0.2</v>
      </c>
      <c r="G144" s="37">
        <f>'Basic Rates'!E25</f>
        <v>900</v>
      </c>
      <c r="H144" s="38">
        <f>G144*F144</f>
        <v>180</v>
      </c>
    </row>
    <row r="145" ht="20.45" customHeight="1" spans="2:8">
      <c r="B145" s="34">
        <f>B144+0.01</f>
        <v>1.02999999046326</v>
      </c>
      <c r="C145" s="36" t="s">
        <v>74</v>
      </c>
      <c r="D145" s="34" t="s">
        <v>174</v>
      </c>
      <c r="E145" s="34" t="s">
        <v>175</v>
      </c>
      <c r="F145" s="34">
        <v>0.5</v>
      </c>
      <c r="G145" s="37">
        <f>'Basic Rates'!$J$4</f>
        <v>4000</v>
      </c>
      <c r="H145" s="38">
        <f>G145*F145</f>
        <v>2000</v>
      </c>
    </row>
    <row r="146" ht="20.45" customHeight="1" spans="4:8">
      <c r="D146" s="39" t="s">
        <v>579</v>
      </c>
      <c r="E146" s="40">
        <f>$F$141</f>
        <v>1</v>
      </c>
      <c r="F146" s="40" t="str">
        <f>$G$141</f>
        <v>Sqr</v>
      </c>
      <c r="G146" s="41"/>
      <c r="H146" s="38">
        <f>SUM(H143:H145)</f>
        <v>2405</v>
      </c>
    </row>
    <row r="147" ht="20.45" customHeight="1" spans="4:8">
      <c r="D147" s="39" t="s">
        <v>580</v>
      </c>
      <c r="E147" s="40" t="str">
        <f>$G$141</f>
        <v>Sqr</v>
      </c>
      <c r="F147" s="40"/>
      <c r="G147" s="41"/>
      <c r="H147" s="38">
        <f>H146/E146</f>
        <v>2405</v>
      </c>
    </row>
    <row r="148" s="4" customFormat="1" ht="20.1" customHeight="1" spans="1:11">
      <c r="A148" s="42"/>
      <c r="B148" s="43"/>
      <c r="C148" s="43"/>
      <c r="D148" s="44" t="s">
        <v>581</v>
      </c>
      <c r="E148" s="45"/>
      <c r="F148" s="45"/>
      <c r="G148" s="46" t="s">
        <v>757</v>
      </c>
      <c r="H148" s="47">
        <f>ROUND(H147,0)</f>
        <v>2405</v>
      </c>
      <c r="K148" s="58"/>
    </row>
    <row r="149" s="4" customFormat="1" ht="20.1" customHeight="1" spans="1:11">
      <c r="A149" s="42"/>
      <c r="B149" s="43"/>
      <c r="C149" s="43"/>
      <c r="D149" s="44" t="s">
        <v>581</v>
      </c>
      <c r="E149" s="45"/>
      <c r="F149" s="45"/>
      <c r="G149" s="46" t="s">
        <v>785</v>
      </c>
      <c r="H149" s="47">
        <f>H148/100</f>
        <v>24.05</v>
      </c>
      <c r="K149" s="58"/>
    </row>
    <row r="150" s="4" customFormat="1" ht="20.1" customHeight="1" spans="1:11">
      <c r="A150" s="42"/>
      <c r="B150" s="43"/>
      <c r="C150" s="6"/>
      <c r="D150" s="44" t="s">
        <v>581</v>
      </c>
      <c r="E150" s="45"/>
      <c r="F150" s="45"/>
      <c r="G150" s="46" t="s">
        <v>758</v>
      </c>
      <c r="H150" s="47">
        <f>H149*10.76</f>
        <v>258.778</v>
      </c>
      <c r="K150" s="58"/>
    </row>
    <row r="151" s="5" customFormat="1" ht="20.1" customHeight="1" spans="1:11">
      <c r="A151" s="62"/>
      <c r="B151" s="63"/>
      <c r="C151" s="63"/>
      <c r="D151" s="64"/>
      <c r="E151" s="65"/>
      <c r="F151" s="65"/>
      <c r="G151" s="66"/>
      <c r="H151" s="67"/>
      <c r="K151" s="69"/>
    </row>
    <row r="152" s="2" customFormat="1" ht="17.25" customHeight="1" spans="1:9">
      <c r="A152" s="29" t="s">
        <v>1181</v>
      </c>
      <c r="B152" s="29"/>
      <c r="C152" s="30" t="s">
        <v>1182</v>
      </c>
      <c r="D152" s="30"/>
      <c r="E152" s="30"/>
      <c r="F152" s="30"/>
      <c r="G152" s="30"/>
      <c r="H152" s="30"/>
      <c r="I152" s="57"/>
    </row>
    <row r="153" s="3" customFormat="1" ht="13.5" customHeight="1" spans="4:8">
      <c r="D153" s="31"/>
      <c r="E153" s="32" t="s">
        <v>570</v>
      </c>
      <c r="F153" s="31">
        <v>1</v>
      </c>
      <c r="G153" s="32" t="s">
        <v>571</v>
      </c>
      <c r="H153" s="33"/>
    </row>
    <row r="154" ht="15" customHeight="1" spans="2:8">
      <c r="B154" s="34" t="s">
        <v>194</v>
      </c>
      <c r="C154" s="34" t="s">
        <v>573</v>
      </c>
      <c r="D154" s="34" t="s">
        <v>574</v>
      </c>
      <c r="E154" s="34" t="s">
        <v>6</v>
      </c>
      <c r="F154" s="34" t="s">
        <v>575</v>
      </c>
      <c r="G154" s="34" t="s">
        <v>576</v>
      </c>
      <c r="H154" s="35" t="s">
        <v>577</v>
      </c>
    </row>
    <row r="155" ht="20.45" customHeight="1" spans="2:8">
      <c r="B155" s="34">
        <v>1.00999999046326</v>
      </c>
      <c r="C155" s="36" t="s">
        <v>356</v>
      </c>
      <c r="D155" s="34" t="s">
        <v>357</v>
      </c>
      <c r="E155" s="457" t="s">
        <v>180</v>
      </c>
      <c r="F155" s="34">
        <v>0.75</v>
      </c>
      <c r="G155" s="37">
        <f>'Basic Rates'!E78</f>
        <v>805</v>
      </c>
      <c r="H155" s="38">
        <f t="shared" ref="H155:H160" si="2">G155*F155</f>
        <v>603.75</v>
      </c>
    </row>
    <row r="156" ht="20.45" customHeight="1" spans="2:8">
      <c r="B156" s="34">
        <v>1.01999998092651</v>
      </c>
      <c r="C156" s="36" t="s">
        <v>291</v>
      </c>
      <c r="D156" s="34" t="s">
        <v>292</v>
      </c>
      <c r="E156" s="457" t="s">
        <v>180</v>
      </c>
      <c r="F156" s="34">
        <v>2.5</v>
      </c>
      <c r="G156" s="37">
        <v>400</v>
      </c>
      <c r="H156" s="38">
        <f>'Basic Rates'!E47</f>
        <v>1790</v>
      </c>
    </row>
    <row r="157" ht="20.45" customHeight="1" spans="2:8">
      <c r="B157" s="34">
        <v>1.02999997138977</v>
      </c>
      <c r="C157" s="36" t="s">
        <v>245</v>
      </c>
      <c r="D157" s="34" t="s">
        <v>246</v>
      </c>
      <c r="E157" s="34" t="s">
        <v>194</v>
      </c>
      <c r="F157" s="34">
        <v>0.1</v>
      </c>
      <c r="G157" s="37">
        <v>60</v>
      </c>
      <c r="H157" s="38">
        <f>'Basic Rates'!E25</f>
        <v>900</v>
      </c>
    </row>
    <row r="158" ht="20.45" customHeight="1" spans="2:8">
      <c r="B158" s="34">
        <v>1.03999996185303</v>
      </c>
      <c r="C158" s="36" t="s">
        <v>434</v>
      </c>
      <c r="D158" s="34" t="s">
        <v>435</v>
      </c>
      <c r="E158" s="34" t="s">
        <v>194</v>
      </c>
      <c r="F158" s="34">
        <v>2</v>
      </c>
      <c r="G158" s="37">
        <f>'Basic Rates'!E117</f>
        <v>250</v>
      </c>
      <c r="H158" s="38">
        <f t="shared" si="2"/>
        <v>500</v>
      </c>
    </row>
    <row r="159" ht="20.45" customHeight="1" spans="2:8">
      <c r="B159" s="34">
        <v>1.04999995231628</v>
      </c>
      <c r="C159" s="36" t="s">
        <v>74</v>
      </c>
      <c r="D159" s="34" t="s">
        <v>174</v>
      </c>
      <c r="E159" s="457" t="s">
        <v>175</v>
      </c>
      <c r="F159" s="34">
        <v>1.5</v>
      </c>
      <c r="G159" s="37">
        <f>'Basic Rates'!$J$4</f>
        <v>4000</v>
      </c>
      <c r="H159" s="38">
        <f t="shared" si="2"/>
        <v>6000</v>
      </c>
    </row>
    <row r="160" ht="20.45" customHeight="1" spans="2:8">
      <c r="B160" s="34">
        <v>1.05999994277954</v>
      </c>
      <c r="C160" s="36" t="s">
        <v>208</v>
      </c>
      <c r="D160" s="34" t="s">
        <v>209</v>
      </c>
      <c r="E160" s="457" t="s">
        <v>175</v>
      </c>
      <c r="F160" s="34">
        <v>0.5</v>
      </c>
      <c r="G160" s="37">
        <f>'Basic Rates'!$J$10</f>
        <v>2300</v>
      </c>
      <c r="H160" s="38">
        <f t="shared" si="2"/>
        <v>1150</v>
      </c>
    </row>
    <row r="161" ht="20.45" customHeight="1" spans="4:8">
      <c r="D161" s="39" t="s">
        <v>579</v>
      </c>
      <c r="E161" s="40">
        <f>$F$153</f>
        <v>1</v>
      </c>
      <c r="F161" s="40" t="str">
        <f>$G$153</f>
        <v>Sqr</v>
      </c>
      <c r="G161" s="41"/>
      <c r="H161" s="38">
        <f>SUM(H155:H160)</f>
        <v>10943.75</v>
      </c>
    </row>
    <row r="162" ht="20.45" customHeight="1" spans="4:8">
      <c r="D162" s="39" t="s">
        <v>580</v>
      </c>
      <c r="E162" s="40" t="str">
        <f>$G$153</f>
        <v>Sqr</v>
      </c>
      <c r="F162" s="40"/>
      <c r="G162" s="41"/>
      <c r="H162" s="38">
        <f>H161/E161</f>
        <v>10943.75</v>
      </c>
    </row>
    <row r="163" s="4" customFormat="1" ht="20.1" customHeight="1" spans="1:11">
      <c r="A163" s="42"/>
      <c r="B163" s="43"/>
      <c r="C163" s="43"/>
      <c r="D163" s="44" t="s">
        <v>581</v>
      </c>
      <c r="E163" s="45"/>
      <c r="F163" s="45"/>
      <c r="G163" s="46" t="s">
        <v>757</v>
      </c>
      <c r="H163" s="47">
        <f>ROUND(H162,-1)</f>
        <v>10940</v>
      </c>
      <c r="K163" s="58"/>
    </row>
    <row r="164" s="4" customFormat="1" ht="20.1" customHeight="1" spans="1:11">
      <c r="A164" s="42"/>
      <c r="B164" s="43"/>
      <c r="C164" s="43"/>
      <c r="D164" s="44" t="s">
        <v>581</v>
      </c>
      <c r="E164" s="45"/>
      <c r="F164" s="45"/>
      <c r="G164" s="46" t="s">
        <v>785</v>
      </c>
      <c r="H164" s="47">
        <f>H163/100</f>
        <v>109.4</v>
      </c>
      <c r="K164" s="58"/>
    </row>
    <row r="165" s="4" customFormat="1" ht="20.1" customHeight="1" spans="1:11">
      <c r="A165" s="42"/>
      <c r="B165" s="43"/>
      <c r="C165" s="6"/>
      <c r="D165" s="44" t="s">
        <v>581</v>
      </c>
      <c r="E165" s="45"/>
      <c r="F165" s="45"/>
      <c r="G165" s="46" t="s">
        <v>758</v>
      </c>
      <c r="H165" s="47">
        <f>H164*10.76</f>
        <v>1177.144</v>
      </c>
      <c r="K165" s="58"/>
    </row>
    <row r="166" s="5" customFormat="1" ht="20.1" customHeight="1" spans="1:11">
      <c r="A166" s="62"/>
      <c r="B166" s="63"/>
      <c r="C166" s="63"/>
      <c r="D166" s="64"/>
      <c r="E166" s="65"/>
      <c r="F166" s="65"/>
      <c r="G166" s="66"/>
      <c r="H166" s="67"/>
      <c r="K166" s="69"/>
    </row>
    <row r="167" s="2" customFormat="1" ht="17.25" customHeight="1" spans="1:9">
      <c r="A167" s="29" t="s">
        <v>1183</v>
      </c>
      <c r="B167" s="29"/>
      <c r="C167" s="30" t="s">
        <v>1184</v>
      </c>
      <c r="D167" s="30"/>
      <c r="E167" s="30"/>
      <c r="F167" s="30"/>
      <c r="G167" s="30"/>
      <c r="H167" s="30"/>
      <c r="I167" s="57"/>
    </row>
    <row r="168" s="3" customFormat="1" ht="13.5" customHeight="1" spans="4:8">
      <c r="D168" s="31"/>
      <c r="E168" s="32" t="s">
        <v>570</v>
      </c>
      <c r="F168" s="31">
        <v>1</v>
      </c>
      <c r="G168" s="32" t="s">
        <v>571</v>
      </c>
      <c r="H168" s="33"/>
    </row>
    <row r="169" ht="15" customHeight="1" spans="2:8">
      <c r="B169" s="34" t="s">
        <v>194</v>
      </c>
      <c r="C169" s="34" t="s">
        <v>573</v>
      </c>
      <c r="D169" s="34" t="s">
        <v>574</v>
      </c>
      <c r="E169" s="34" t="s">
        <v>6</v>
      </c>
      <c r="F169" s="34" t="s">
        <v>575</v>
      </c>
      <c r="G169" s="34" t="s">
        <v>576</v>
      </c>
      <c r="H169" s="35" t="s">
        <v>577</v>
      </c>
    </row>
    <row r="170" ht="20.45" customHeight="1" spans="2:8">
      <c r="B170" s="34">
        <v>1.00999999046326</v>
      </c>
      <c r="C170" s="36" t="s">
        <v>519</v>
      </c>
      <c r="D170" s="34" t="s">
        <v>520</v>
      </c>
      <c r="E170" s="457" t="s">
        <v>180</v>
      </c>
      <c r="F170" s="34">
        <v>1.8</v>
      </c>
      <c r="G170" s="37">
        <f>'Basic Rates'!E158</f>
        <v>355</v>
      </c>
      <c r="H170" s="38">
        <f>G170*F170</f>
        <v>639</v>
      </c>
    </row>
    <row r="171" ht="20.45" customHeight="1" spans="2:8">
      <c r="B171" s="34">
        <v>1.01999998092651</v>
      </c>
      <c r="C171" s="36" t="s">
        <v>1178</v>
      </c>
      <c r="D171" s="34" t="s">
        <v>242</v>
      </c>
      <c r="E171" s="457" t="s">
        <v>194</v>
      </c>
      <c r="F171" s="68">
        <f>1/3</f>
        <v>0.333333333333333</v>
      </c>
      <c r="G171" s="37">
        <f>'Basic Rates'!E23</f>
        <v>1200</v>
      </c>
      <c r="H171" s="38">
        <f>G171*F171</f>
        <v>400</v>
      </c>
    </row>
    <row r="172" ht="20.45" customHeight="1" spans="2:8">
      <c r="B172" s="34">
        <v>1.02999997138977</v>
      </c>
      <c r="C172" s="36" t="s">
        <v>74</v>
      </c>
      <c r="D172" s="34" t="s">
        <v>174</v>
      </c>
      <c r="E172" s="34" t="s">
        <v>175</v>
      </c>
      <c r="F172" s="34">
        <v>0.5</v>
      </c>
      <c r="G172" s="37">
        <f>'Basic Rates'!$J$4</f>
        <v>4000</v>
      </c>
      <c r="H172" s="38">
        <f>G172*F172</f>
        <v>2000</v>
      </c>
    </row>
    <row r="173" ht="20.45" customHeight="1" spans="2:8">
      <c r="B173" s="34">
        <v>1.03999996185303</v>
      </c>
      <c r="C173" s="36" t="s">
        <v>208</v>
      </c>
      <c r="D173" s="34" t="s">
        <v>209</v>
      </c>
      <c r="E173" s="34" t="s">
        <v>175</v>
      </c>
      <c r="F173" s="34">
        <v>0.5</v>
      </c>
      <c r="G173" s="37">
        <f>'Basic Rates'!$J$10</f>
        <v>2300</v>
      </c>
      <c r="H173" s="38">
        <f>G173*F173</f>
        <v>1150</v>
      </c>
    </row>
    <row r="174" ht="20.45" customHeight="1" spans="4:8">
      <c r="D174" s="39" t="s">
        <v>579</v>
      </c>
      <c r="E174" s="40">
        <f>$F$168</f>
        <v>1</v>
      </c>
      <c r="F174" s="40" t="str">
        <f>$G$168</f>
        <v>Sqr</v>
      </c>
      <c r="G174" s="41"/>
      <c r="H174" s="38">
        <f>SUM(H170:H173)</f>
        <v>4189</v>
      </c>
    </row>
    <row r="175" ht="20.45" customHeight="1" spans="4:8">
      <c r="D175" s="39" t="s">
        <v>580</v>
      </c>
      <c r="E175" s="40" t="str">
        <f>$G$168</f>
        <v>Sqr</v>
      </c>
      <c r="F175" s="40"/>
      <c r="G175" s="41"/>
      <c r="H175" s="38">
        <f>H174/E174</f>
        <v>4189</v>
      </c>
    </row>
    <row r="176" s="4" customFormat="1" ht="20.1" customHeight="1" spans="1:11">
      <c r="A176" s="42"/>
      <c r="B176" s="43"/>
      <c r="C176" s="43"/>
      <c r="D176" s="44" t="s">
        <v>581</v>
      </c>
      <c r="E176" s="45"/>
      <c r="F176" s="45"/>
      <c r="G176" s="46" t="s">
        <v>757</v>
      </c>
      <c r="H176" s="47">
        <f>ROUND(H175,-1)</f>
        <v>4190</v>
      </c>
      <c r="K176" s="58"/>
    </row>
    <row r="177" s="4" customFormat="1" ht="20.1" customHeight="1" spans="1:11">
      <c r="A177" s="42"/>
      <c r="B177" s="43"/>
      <c r="C177" s="43"/>
      <c r="D177" s="44" t="s">
        <v>581</v>
      </c>
      <c r="E177" s="45"/>
      <c r="F177" s="45"/>
      <c r="G177" s="46" t="s">
        <v>785</v>
      </c>
      <c r="H177" s="47">
        <f>H176/100</f>
        <v>41.9</v>
      </c>
      <c r="K177" s="58"/>
    </row>
    <row r="178" s="4" customFormat="1" ht="20.1" customHeight="1" spans="1:11">
      <c r="A178" s="42"/>
      <c r="B178" s="43"/>
      <c r="C178" s="6"/>
      <c r="D178" s="44" t="s">
        <v>581</v>
      </c>
      <c r="E178" s="45"/>
      <c r="F178" s="45"/>
      <c r="G178" s="46" t="s">
        <v>758</v>
      </c>
      <c r="H178" s="47">
        <f>H177*10.76</f>
        <v>450.844</v>
      </c>
      <c r="K178" s="58"/>
    </row>
    <row r="179" s="5" customFormat="1" ht="20.1" customHeight="1" spans="1:11">
      <c r="A179" s="62"/>
      <c r="B179" s="63"/>
      <c r="C179" s="63"/>
      <c r="D179" s="64"/>
      <c r="E179" s="65"/>
      <c r="F179" s="65"/>
      <c r="G179" s="66"/>
      <c r="H179" s="67"/>
      <c r="K179" s="69"/>
    </row>
    <row r="180" s="2" customFormat="1" ht="17.25" customHeight="1" spans="1:9">
      <c r="A180" s="29" t="s">
        <v>1185</v>
      </c>
      <c r="B180" s="29"/>
      <c r="C180" s="30" t="s">
        <v>1186</v>
      </c>
      <c r="D180" s="30"/>
      <c r="E180" s="30"/>
      <c r="F180" s="30"/>
      <c r="G180" s="30"/>
      <c r="H180" s="30"/>
      <c r="I180" s="57"/>
    </row>
    <row r="181" s="3" customFormat="1" ht="13.5" customHeight="1" spans="4:8">
      <c r="D181" s="31"/>
      <c r="E181" s="32" t="s">
        <v>570</v>
      </c>
      <c r="F181" s="31">
        <v>1</v>
      </c>
      <c r="G181" s="32" t="s">
        <v>571</v>
      </c>
      <c r="H181" s="33"/>
    </row>
    <row r="182" ht="15" customHeight="1" spans="2:8">
      <c r="B182" s="34" t="s">
        <v>194</v>
      </c>
      <c r="C182" s="34" t="s">
        <v>573</v>
      </c>
      <c r="D182" s="34" t="s">
        <v>574</v>
      </c>
      <c r="E182" s="34" t="s">
        <v>6</v>
      </c>
      <c r="F182" s="34" t="s">
        <v>575</v>
      </c>
      <c r="G182" s="34" t="s">
        <v>576</v>
      </c>
      <c r="H182" s="35" t="s">
        <v>577</v>
      </c>
    </row>
    <row r="183" ht="20.45" customHeight="1" spans="2:8">
      <c r="B183" s="34">
        <v>1.00999999046326</v>
      </c>
      <c r="C183" s="36" t="s">
        <v>526</v>
      </c>
      <c r="D183" s="34" t="s">
        <v>527</v>
      </c>
      <c r="E183" s="457" t="s">
        <v>199</v>
      </c>
      <c r="F183" s="34">
        <v>0.75</v>
      </c>
      <c r="G183" s="37">
        <f>'Basic Rates'!E162</f>
        <v>150</v>
      </c>
      <c r="H183" s="38">
        <f>G183*F183</f>
        <v>112.5</v>
      </c>
    </row>
    <row r="184" ht="20.45" customHeight="1" spans="2:8">
      <c r="B184" s="34">
        <v>1.01999998092651</v>
      </c>
      <c r="C184" s="36" t="s">
        <v>434</v>
      </c>
      <c r="D184" s="34" t="s">
        <v>435</v>
      </c>
      <c r="E184" s="457" t="s">
        <v>918</v>
      </c>
      <c r="F184" s="34">
        <v>6</v>
      </c>
      <c r="G184" s="37">
        <f>'Basic Rates'!E117</f>
        <v>250</v>
      </c>
      <c r="H184" s="38">
        <f>G184*F184</f>
        <v>1500</v>
      </c>
    </row>
    <row r="185" ht="20.45" customHeight="1" spans="2:8">
      <c r="B185" s="34">
        <v>1.02999997138977</v>
      </c>
      <c r="C185" s="36" t="s">
        <v>302</v>
      </c>
      <c r="D185" s="34" t="s">
        <v>303</v>
      </c>
      <c r="E185" s="34" t="s">
        <v>194</v>
      </c>
      <c r="F185" s="34">
        <v>0.1</v>
      </c>
      <c r="G185" s="37">
        <f>'Basic Rates'!E52</f>
        <v>210</v>
      </c>
      <c r="H185" s="38">
        <f>G185*F185</f>
        <v>21</v>
      </c>
    </row>
    <row r="186" ht="20.45" customHeight="1" spans="2:8">
      <c r="B186" s="34">
        <v>1.03999996185303</v>
      </c>
      <c r="C186" s="36" t="s">
        <v>297</v>
      </c>
      <c r="D186" s="34" t="s">
        <v>298</v>
      </c>
      <c r="E186" s="34" t="s">
        <v>299</v>
      </c>
      <c r="F186" s="34">
        <v>0.5</v>
      </c>
      <c r="G186" s="37">
        <f>'Basic Rates'!E50</f>
        <v>70</v>
      </c>
      <c r="H186" s="38">
        <f>G186*F186</f>
        <v>35</v>
      </c>
    </row>
    <row r="187" ht="20.45" customHeight="1" spans="2:8">
      <c r="B187" s="34">
        <v>1.04999995231628</v>
      </c>
      <c r="C187" s="36" t="s">
        <v>208</v>
      </c>
      <c r="D187" s="34" t="s">
        <v>209</v>
      </c>
      <c r="E187" s="34" t="s">
        <v>175</v>
      </c>
      <c r="F187" s="34">
        <v>0.375</v>
      </c>
      <c r="G187" s="37">
        <f>'Basic Rates'!$J$10</f>
        <v>2300</v>
      </c>
      <c r="H187" s="38">
        <f>G187*F187</f>
        <v>862.5</v>
      </c>
    </row>
    <row r="188" ht="20.45" customHeight="1" spans="4:8">
      <c r="D188" s="39" t="s">
        <v>579</v>
      </c>
      <c r="E188" s="40">
        <f>$F$181</f>
        <v>1</v>
      </c>
      <c r="F188" s="40" t="str">
        <f>$G$181</f>
        <v>Sqr</v>
      </c>
      <c r="G188" s="41"/>
      <c r="H188" s="38">
        <f>SUM(H183:H187)</f>
        <v>2531</v>
      </c>
    </row>
    <row r="189" ht="20.45" customHeight="1" spans="4:8">
      <c r="D189" s="39" t="s">
        <v>580</v>
      </c>
      <c r="E189" s="40" t="str">
        <f>$G$181</f>
        <v>Sqr</v>
      </c>
      <c r="F189" s="40"/>
      <c r="G189" s="41"/>
      <c r="H189" s="38">
        <f>H188/E188</f>
        <v>2531</v>
      </c>
    </row>
    <row r="190" s="4" customFormat="1" ht="20.1" customHeight="1" spans="1:11">
      <c r="A190" s="42"/>
      <c r="B190" s="43"/>
      <c r="C190" s="43"/>
      <c r="D190" s="44" t="s">
        <v>581</v>
      </c>
      <c r="E190" s="45"/>
      <c r="F190" s="45"/>
      <c r="G190" s="46" t="s">
        <v>757</v>
      </c>
      <c r="H190" s="47">
        <f>ROUND(H189,-1)</f>
        <v>2530</v>
      </c>
      <c r="K190" s="58"/>
    </row>
    <row r="191" s="4" customFormat="1" ht="20.1" customHeight="1" spans="1:11">
      <c r="A191" s="42"/>
      <c r="B191" s="43"/>
      <c r="C191" s="43"/>
      <c r="D191" s="44" t="s">
        <v>581</v>
      </c>
      <c r="E191" s="45"/>
      <c r="F191" s="45"/>
      <c r="G191" s="46" t="s">
        <v>785</v>
      </c>
      <c r="H191" s="47">
        <f>H190/100</f>
        <v>25.3</v>
      </c>
      <c r="K191" s="58"/>
    </row>
    <row r="192" s="4" customFormat="1" ht="20.1" customHeight="1" spans="1:11">
      <c r="A192" s="42"/>
      <c r="B192" s="43"/>
      <c r="C192" s="6"/>
      <c r="D192" s="44" t="s">
        <v>581</v>
      </c>
      <c r="E192" s="45"/>
      <c r="F192" s="45"/>
      <c r="G192" s="46" t="s">
        <v>758</v>
      </c>
      <c r="H192" s="47">
        <f>H191*10.76</f>
        <v>272.228</v>
      </c>
      <c r="K192" s="58"/>
    </row>
    <row r="193" s="5" customFormat="1" ht="20.1" customHeight="1" spans="1:11">
      <c r="A193" s="62"/>
      <c r="B193" s="63"/>
      <c r="C193" s="63"/>
      <c r="D193" s="64"/>
      <c r="E193" s="65"/>
      <c r="F193" s="65"/>
      <c r="G193" s="66"/>
      <c r="H193" s="67"/>
      <c r="K193" s="69"/>
    </row>
    <row r="194" s="1" customFormat="1" ht="20.25" customHeight="1" spans="1:9">
      <c r="A194" s="19"/>
      <c r="B194" s="20"/>
      <c r="C194" s="21"/>
      <c r="D194" s="22" t="s">
        <v>1155</v>
      </c>
      <c r="E194" s="21"/>
      <c r="F194" s="21"/>
      <c r="G194" s="23"/>
      <c r="H194" s="24"/>
      <c r="I194" s="56"/>
    </row>
    <row r="195" s="1" customFormat="1" ht="9" customHeight="1" spans="2:8">
      <c r="B195" s="25"/>
      <c r="C195" s="26"/>
      <c r="D195" s="26"/>
      <c r="E195" s="26"/>
      <c r="F195" s="26"/>
      <c r="G195" s="27"/>
      <c r="H195" s="28"/>
    </row>
    <row r="196" s="2" customFormat="1" ht="15.75" customHeight="1" spans="1:9">
      <c r="A196" s="29" t="s">
        <v>1187</v>
      </c>
      <c r="B196" s="29"/>
      <c r="C196" s="30" t="s">
        <v>1188</v>
      </c>
      <c r="D196" s="30"/>
      <c r="E196" s="30"/>
      <c r="F196" s="30"/>
      <c r="G196" s="30"/>
      <c r="H196" s="30"/>
      <c r="I196" s="57"/>
    </row>
    <row r="197" s="3" customFormat="1" ht="13.5" customHeight="1" spans="4:8">
      <c r="D197" s="31"/>
      <c r="E197" s="32" t="s">
        <v>570</v>
      </c>
      <c r="F197" s="31">
        <v>1</v>
      </c>
      <c r="G197" s="32" t="s">
        <v>571</v>
      </c>
      <c r="H197" s="33"/>
    </row>
    <row r="198" ht="15" customHeight="1" spans="2:8">
      <c r="B198" s="34" t="s">
        <v>194</v>
      </c>
      <c r="C198" s="34" t="s">
        <v>573</v>
      </c>
      <c r="D198" s="34" t="s">
        <v>574</v>
      </c>
      <c r="E198" s="34" t="s">
        <v>6</v>
      </c>
      <c r="F198" s="34" t="s">
        <v>575</v>
      </c>
      <c r="G198" s="34" t="s">
        <v>576</v>
      </c>
      <c r="H198" s="35" t="s">
        <v>577</v>
      </c>
    </row>
    <row r="199" ht="20.45" customHeight="1" spans="2:8">
      <c r="B199" s="34">
        <v>1.00999999046326</v>
      </c>
      <c r="C199" s="36" t="s">
        <v>178</v>
      </c>
      <c r="D199" s="34" t="s">
        <v>179</v>
      </c>
      <c r="E199" s="457" t="s">
        <v>180</v>
      </c>
      <c r="F199" s="34">
        <v>2.25</v>
      </c>
      <c r="G199" s="37">
        <f>'Basic Rates'!E5</f>
        <v>4180</v>
      </c>
      <c r="H199" s="38">
        <f t="shared" ref="H199:H204" si="3">G199*F199</f>
        <v>9405</v>
      </c>
    </row>
    <row r="200" ht="20.45" customHeight="1" spans="2:8">
      <c r="B200" s="34">
        <f>B199+0.01</f>
        <v>1.01999999046326</v>
      </c>
      <c r="C200" s="36" t="s">
        <v>344</v>
      </c>
      <c r="D200" s="34" t="s">
        <v>345</v>
      </c>
      <c r="E200" s="457" t="s">
        <v>180</v>
      </c>
      <c r="F200" s="34">
        <v>0.15</v>
      </c>
      <c r="G200" s="37">
        <f>'Basic Rates'!E72</f>
        <v>80</v>
      </c>
      <c r="H200" s="38">
        <f t="shared" si="3"/>
        <v>12</v>
      </c>
    </row>
    <row r="201" ht="20.45" customHeight="1" spans="2:8">
      <c r="B201" s="34">
        <f>B200+0.01</f>
        <v>1.02999999046326</v>
      </c>
      <c r="C201" s="36" t="s">
        <v>530</v>
      </c>
      <c r="D201" s="34" t="s">
        <v>531</v>
      </c>
      <c r="E201" s="34" t="s">
        <v>194</v>
      </c>
      <c r="F201" s="34">
        <v>1</v>
      </c>
      <c r="G201" s="37">
        <f>'Basic Rates'!E164</f>
        <v>65</v>
      </c>
      <c r="H201" s="38">
        <f t="shared" si="3"/>
        <v>65</v>
      </c>
    </row>
    <row r="202" ht="20.45" customHeight="1" spans="2:8">
      <c r="B202" s="34">
        <f>B201+0.01</f>
        <v>1.03999999046326</v>
      </c>
      <c r="C202" s="36" t="s">
        <v>245</v>
      </c>
      <c r="D202" s="34" t="s">
        <v>246</v>
      </c>
      <c r="E202" s="34" t="s">
        <v>194</v>
      </c>
      <c r="F202" s="34">
        <v>0.125</v>
      </c>
      <c r="G202" s="37">
        <f>'Basic Rates'!E25</f>
        <v>900</v>
      </c>
      <c r="H202" s="38">
        <f t="shared" si="3"/>
        <v>112.5</v>
      </c>
    </row>
    <row r="203" ht="20.45" customHeight="1" spans="2:8">
      <c r="B203" s="34">
        <f>B202+0.01</f>
        <v>1.04999999046326</v>
      </c>
      <c r="C203" s="36" t="s">
        <v>74</v>
      </c>
      <c r="D203" s="34" t="s">
        <v>174</v>
      </c>
      <c r="E203" s="457" t="s">
        <v>175</v>
      </c>
      <c r="F203" s="34">
        <v>1.5</v>
      </c>
      <c r="G203" s="37">
        <f>'Basic Rates'!$J$4</f>
        <v>4000</v>
      </c>
      <c r="H203" s="38">
        <f t="shared" si="3"/>
        <v>6000</v>
      </c>
    </row>
    <row r="204" ht="20.45" customHeight="1" spans="2:8">
      <c r="B204" s="34">
        <f>B203+0.01</f>
        <v>1.05999999046326</v>
      </c>
      <c r="C204" s="36" t="s">
        <v>208</v>
      </c>
      <c r="D204" s="34" t="s">
        <v>209</v>
      </c>
      <c r="E204" s="457" t="s">
        <v>175</v>
      </c>
      <c r="F204" s="34">
        <v>1.5</v>
      </c>
      <c r="G204" s="37">
        <f>'Basic Rates'!$J$10</f>
        <v>2300</v>
      </c>
      <c r="H204" s="38">
        <f t="shared" si="3"/>
        <v>3450</v>
      </c>
    </row>
    <row r="205" ht="20.45" customHeight="1" spans="4:8">
      <c r="D205" s="39" t="s">
        <v>579</v>
      </c>
      <c r="E205" s="40">
        <f>$F$197</f>
        <v>1</v>
      </c>
      <c r="F205" s="40" t="str">
        <f>$G$197</f>
        <v>Sqr</v>
      </c>
      <c r="G205" s="41"/>
      <c r="H205" s="38">
        <f>SUM(H199:H204)</f>
        <v>19044.5</v>
      </c>
    </row>
    <row r="206" ht="20.45" customHeight="1" spans="4:8">
      <c r="D206" s="39" t="s">
        <v>580</v>
      </c>
      <c r="E206" s="40" t="str">
        <f>$G$197</f>
        <v>Sqr</v>
      </c>
      <c r="F206" s="40"/>
      <c r="G206" s="41"/>
      <c r="H206" s="38">
        <f>H205/E205</f>
        <v>19044.5</v>
      </c>
    </row>
    <row r="207" s="4" customFormat="1" ht="20.1" customHeight="1" spans="1:11">
      <c r="A207" s="42"/>
      <c r="B207" s="43"/>
      <c r="C207" s="43"/>
      <c r="D207" s="44" t="s">
        <v>581</v>
      </c>
      <c r="E207" s="45"/>
      <c r="F207" s="45"/>
      <c r="G207" s="46" t="s">
        <v>757</v>
      </c>
      <c r="H207" s="47">
        <f>ROUND(H206,-1)</f>
        <v>19040</v>
      </c>
      <c r="K207" s="58"/>
    </row>
    <row r="208" s="4" customFormat="1" ht="20.1" customHeight="1" spans="1:11">
      <c r="A208" s="42"/>
      <c r="B208" s="43"/>
      <c r="C208" s="43"/>
      <c r="D208" s="44" t="s">
        <v>581</v>
      </c>
      <c r="E208" s="45"/>
      <c r="F208" s="45"/>
      <c r="G208" s="46" t="s">
        <v>785</v>
      </c>
      <c r="H208" s="47">
        <f>H207/100</f>
        <v>190.4</v>
      </c>
      <c r="K208" s="58"/>
    </row>
    <row r="209" s="4" customFormat="1" ht="20.1" customHeight="1" spans="1:11">
      <c r="A209" s="42"/>
      <c r="B209" s="43"/>
      <c r="C209" s="6"/>
      <c r="D209" s="44" t="s">
        <v>581</v>
      </c>
      <c r="E209" s="45"/>
      <c r="F209" s="45"/>
      <c r="G209" s="46" t="s">
        <v>758</v>
      </c>
      <c r="H209" s="47">
        <f>H208*10.76</f>
        <v>2048.704</v>
      </c>
      <c r="K209" s="58"/>
    </row>
    <row r="210" s="5" customFormat="1" ht="20.1" customHeight="1" spans="1:11">
      <c r="A210" s="62"/>
      <c r="B210" s="63"/>
      <c r="C210" s="63"/>
      <c r="D210" s="64"/>
      <c r="E210" s="65"/>
      <c r="F210" s="65"/>
      <c r="G210" s="66"/>
      <c r="H210" s="67"/>
      <c r="K210" s="69"/>
    </row>
    <row r="211" s="2" customFormat="1" ht="24.95" customHeight="1" spans="1:9">
      <c r="A211" s="29" t="s">
        <v>1189</v>
      </c>
      <c r="B211" s="29"/>
      <c r="C211" s="30" t="s">
        <v>1190</v>
      </c>
      <c r="D211" s="30"/>
      <c r="E211" s="30"/>
      <c r="F211" s="30"/>
      <c r="G211" s="30"/>
      <c r="H211" s="30"/>
      <c r="I211" s="57"/>
    </row>
    <row r="212" s="3" customFormat="1" ht="13.5" customHeight="1" spans="4:8">
      <c r="D212" s="31"/>
      <c r="E212" s="32" t="s">
        <v>570</v>
      </c>
      <c r="F212" s="31">
        <v>1</v>
      </c>
      <c r="G212" s="32" t="s">
        <v>571</v>
      </c>
      <c r="H212" s="33"/>
    </row>
    <row r="213" ht="15" customHeight="1" spans="2:8">
      <c r="B213" s="34" t="s">
        <v>194</v>
      </c>
      <c r="C213" s="34" t="s">
        <v>573</v>
      </c>
      <c r="D213" s="34" t="s">
        <v>574</v>
      </c>
      <c r="E213" s="34" t="s">
        <v>6</v>
      </c>
      <c r="F213" s="34" t="s">
        <v>575</v>
      </c>
      <c r="G213" s="34" t="s">
        <v>576</v>
      </c>
      <c r="H213" s="35" t="s">
        <v>577</v>
      </c>
    </row>
    <row r="214" ht="20.45" customHeight="1" spans="2:8">
      <c r="B214" s="34">
        <v>1.00999999046326</v>
      </c>
      <c r="C214" s="36" t="s">
        <v>178</v>
      </c>
      <c r="D214" s="34" t="s">
        <v>179</v>
      </c>
      <c r="E214" s="457" t="s">
        <v>180</v>
      </c>
      <c r="F214" s="34">
        <v>0.2</v>
      </c>
      <c r="G214" s="37">
        <f>'Basic Rates'!$E$5</f>
        <v>4180</v>
      </c>
      <c r="H214" s="38">
        <v>49</v>
      </c>
    </row>
    <row r="215" ht="20.45" customHeight="1" spans="2:8">
      <c r="B215" s="34">
        <f t="shared" ref="B215:B220" si="4">B214+0.01</f>
        <v>1.01999999046326</v>
      </c>
      <c r="C215" s="36" t="s">
        <v>291</v>
      </c>
      <c r="D215" s="34" t="s">
        <v>292</v>
      </c>
      <c r="E215" s="457" t="s">
        <v>180</v>
      </c>
      <c r="F215" s="34">
        <v>1.33</v>
      </c>
      <c r="G215" s="37">
        <f>'Basic Rates'!$E$47</f>
        <v>1790</v>
      </c>
      <c r="H215" s="38">
        <v>470.82</v>
      </c>
    </row>
    <row r="216" ht="20.45" customHeight="1" spans="2:8">
      <c r="B216" s="34">
        <f t="shared" si="4"/>
        <v>1.02999999046326</v>
      </c>
      <c r="C216" s="36" t="s">
        <v>344</v>
      </c>
      <c r="D216" s="34" t="s">
        <v>345</v>
      </c>
      <c r="E216" s="34" t="s">
        <v>180</v>
      </c>
      <c r="F216" s="34">
        <v>0.2</v>
      </c>
      <c r="G216" s="37">
        <f>'Basic Rates'!$E$72</f>
        <v>80</v>
      </c>
      <c r="H216" s="38">
        <v>16</v>
      </c>
    </row>
    <row r="217" ht="20.45" customHeight="1" spans="2:8">
      <c r="B217" s="34">
        <f t="shared" si="4"/>
        <v>1.03999999046326</v>
      </c>
      <c r="C217" s="36" t="s">
        <v>245</v>
      </c>
      <c r="D217" s="34" t="s">
        <v>246</v>
      </c>
      <c r="E217" s="34" t="s">
        <v>194</v>
      </c>
      <c r="F217" s="34">
        <v>0.2</v>
      </c>
      <c r="G217" s="37">
        <f>'Basic Rates'!$E$25</f>
        <v>900</v>
      </c>
      <c r="H217" s="38">
        <f>'Basic Rates'!E25</f>
        <v>900</v>
      </c>
    </row>
    <row r="218" ht="20.45" customHeight="1" spans="2:8">
      <c r="B218" s="34">
        <f t="shared" si="4"/>
        <v>1.04999999046326</v>
      </c>
      <c r="C218" s="36" t="s">
        <v>74</v>
      </c>
      <c r="D218" s="34" t="s">
        <v>174</v>
      </c>
      <c r="E218" s="457" t="s">
        <v>175</v>
      </c>
      <c r="F218" s="34">
        <v>2.5</v>
      </c>
      <c r="G218" s="37">
        <f>'Basic Rates'!$J$4</f>
        <v>4000</v>
      </c>
      <c r="H218" s="38">
        <v>687.5</v>
      </c>
    </row>
    <row r="219" ht="20.45" customHeight="1" spans="2:8">
      <c r="B219" s="34">
        <f t="shared" si="4"/>
        <v>1.05999999046326</v>
      </c>
      <c r="C219" s="36" t="s">
        <v>208</v>
      </c>
      <c r="D219" s="34" t="s">
        <v>209</v>
      </c>
      <c r="E219" s="457" t="s">
        <v>175</v>
      </c>
      <c r="F219" s="34">
        <v>1</v>
      </c>
      <c r="G219" s="37">
        <f>'Basic Rates'!$J$10</f>
        <v>2300</v>
      </c>
      <c r="H219" s="38">
        <v>200</v>
      </c>
    </row>
    <row r="220" ht="25.5" customHeight="1" spans="2:8">
      <c r="B220" s="34">
        <f t="shared" si="4"/>
        <v>1.06999999046326</v>
      </c>
      <c r="C220" s="36" t="s">
        <v>1191</v>
      </c>
      <c r="D220" s="457" t="s">
        <v>676</v>
      </c>
      <c r="E220" s="457" t="s">
        <v>676</v>
      </c>
      <c r="F220" s="457" t="s">
        <v>676</v>
      </c>
      <c r="G220" s="457" t="s">
        <v>676</v>
      </c>
      <c r="H220" s="38">
        <f>(H218+H219)*3/100</f>
        <v>26.625</v>
      </c>
    </row>
    <row r="221" ht="20.45" customHeight="1" spans="4:8">
      <c r="D221" s="39" t="s">
        <v>579</v>
      </c>
      <c r="E221" s="40">
        <f>$F$212</f>
        <v>1</v>
      </c>
      <c r="F221" s="40" t="str">
        <f>$G$212</f>
        <v>Sqr</v>
      </c>
      <c r="G221" s="41"/>
      <c r="H221" s="38">
        <f>SUM(H214:H220)</f>
        <v>2349.945</v>
      </c>
    </row>
    <row r="222" ht="20.45" customHeight="1" spans="4:8">
      <c r="D222" s="39" t="s">
        <v>580</v>
      </c>
      <c r="E222" s="40" t="str">
        <f>$G$212</f>
        <v>Sqr</v>
      </c>
      <c r="F222" s="40"/>
      <c r="G222" s="41"/>
      <c r="H222" s="38">
        <f>H221/E221</f>
        <v>2349.945</v>
      </c>
    </row>
    <row r="223" s="4" customFormat="1" ht="20.1" customHeight="1" spans="1:11">
      <c r="A223" s="42"/>
      <c r="B223" s="43"/>
      <c r="C223" s="43"/>
      <c r="D223" s="44" t="s">
        <v>581</v>
      </c>
      <c r="E223" s="45"/>
      <c r="F223" s="45"/>
      <c r="G223" s="46" t="s">
        <v>757</v>
      </c>
      <c r="H223" s="47">
        <f>ROUND(H222,-1)</f>
        <v>2350</v>
      </c>
      <c r="K223" s="58"/>
    </row>
    <row r="224" s="4" customFormat="1" ht="20.1" customHeight="1" spans="1:11">
      <c r="A224" s="42"/>
      <c r="B224" s="43"/>
      <c r="C224" s="43"/>
      <c r="D224" s="44" t="s">
        <v>581</v>
      </c>
      <c r="E224" s="45"/>
      <c r="F224" s="45"/>
      <c r="G224" s="46" t="s">
        <v>785</v>
      </c>
      <c r="H224" s="47">
        <f>H223/100</f>
        <v>23.5</v>
      </c>
      <c r="K224" s="58"/>
    </row>
    <row r="225" s="4" customFormat="1" ht="20.1" customHeight="1" spans="1:11">
      <c r="A225" s="42"/>
      <c r="B225" s="43"/>
      <c r="C225" s="6"/>
      <c r="D225" s="44" t="s">
        <v>581</v>
      </c>
      <c r="E225" s="45"/>
      <c r="F225" s="45"/>
      <c r="G225" s="46" t="s">
        <v>758</v>
      </c>
      <c r="H225" s="47">
        <f>H224*10.76</f>
        <v>252.86</v>
      </c>
      <c r="K225" s="58"/>
    </row>
    <row r="226" s="5" customFormat="1" ht="20.1" customHeight="1" spans="1:11">
      <c r="A226" s="62"/>
      <c r="B226" s="63"/>
      <c r="C226" s="63"/>
      <c r="D226" s="64"/>
      <c r="E226" s="65"/>
      <c r="F226" s="65"/>
      <c r="G226" s="66"/>
      <c r="H226" s="67"/>
      <c r="K226" s="69"/>
    </row>
    <row r="227" s="2" customFormat="1" ht="27" customHeight="1" spans="1:9">
      <c r="A227" s="29" t="s">
        <v>1192</v>
      </c>
      <c r="B227" s="29"/>
      <c r="C227" s="30" t="s">
        <v>1193</v>
      </c>
      <c r="D227" s="30"/>
      <c r="E227" s="30"/>
      <c r="F227" s="30"/>
      <c r="G227" s="30"/>
      <c r="H227" s="30"/>
      <c r="I227" s="57"/>
    </row>
    <row r="228" s="3" customFormat="1" ht="13.5" customHeight="1" spans="4:8">
      <c r="D228" s="31"/>
      <c r="E228" s="32" t="s">
        <v>570</v>
      </c>
      <c r="F228" s="31">
        <v>50</v>
      </c>
      <c r="G228" s="32" t="s">
        <v>187</v>
      </c>
      <c r="H228" s="33"/>
    </row>
    <row r="229" ht="15" customHeight="1" spans="2:8">
      <c r="B229" s="34" t="s">
        <v>194</v>
      </c>
      <c r="C229" s="34" t="s">
        <v>573</v>
      </c>
      <c r="D229" s="34" t="s">
        <v>574</v>
      </c>
      <c r="E229" s="34" t="s">
        <v>6</v>
      </c>
      <c r="F229" s="34" t="s">
        <v>575</v>
      </c>
      <c r="G229" s="34" t="s">
        <v>576</v>
      </c>
      <c r="H229" s="35" t="s">
        <v>577</v>
      </c>
    </row>
    <row r="230" ht="20.45" customHeight="1" spans="2:8">
      <c r="B230" s="34">
        <v>1.00999999046326</v>
      </c>
      <c r="C230" s="36" t="s">
        <v>178</v>
      </c>
      <c r="D230" s="34" t="s">
        <v>179</v>
      </c>
      <c r="E230" s="457" t="s">
        <v>180</v>
      </c>
      <c r="F230" s="34">
        <v>1.5</v>
      </c>
      <c r="G230" s="37">
        <f>'Basic Rates'!$E$5</f>
        <v>4180</v>
      </c>
      <c r="H230" s="38">
        <f>G230*F230</f>
        <v>6270</v>
      </c>
    </row>
    <row r="231" ht="20.45" customHeight="1" spans="2:8">
      <c r="B231" s="34">
        <f t="shared" ref="B231:B236" si="5">B230+0.01</f>
        <v>1.01999999046326</v>
      </c>
      <c r="C231" s="36" t="s">
        <v>291</v>
      </c>
      <c r="D231" s="34" t="s">
        <v>292</v>
      </c>
      <c r="E231" s="457" t="s">
        <v>180</v>
      </c>
      <c r="F231" s="34">
        <v>0.67</v>
      </c>
      <c r="G231" s="37">
        <f>'Basic Rates'!$E$47</f>
        <v>1790</v>
      </c>
      <c r="H231" s="38">
        <f t="shared" ref="H231:H236" si="6">G231*F231</f>
        <v>1199.3</v>
      </c>
    </row>
    <row r="232" ht="20.45" customHeight="1" spans="2:8">
      <c r="B232" s="34">
        <f t="shared" si="5"/>
        <v>1.02999999046326</v>
      </c>
      <c r="C232" s="36" t="s">
        <v>344</v>
      </c>
      <c r="D232" s="34" t="s">
        <v>345</v>
      </c>
      <c r="E232" s="34" t="s">
        <v>180</v>
      </c>
      <c r="F232" s="34">
        <v>0.2</v>
      </c>
      <c r="G232" s="37">
        <f>'Basic Rates'!$E$72</f>
        <v>80</v>
      </c>
      <c r="H232" s="38">
        <f t="shared" si="6"/>
        <v>16</v>
      </c>
    </row>
    <row r="233" ht="20.45" customHeight="1" spans="2:8">
      <c r="B233" s="34">
        <f t="shared" si="5"/>
        <v>1.03999999046326</v>
      </c>
      <c r="C233" s="36" t="s">
        <v>530</v>
      </c>
      <c r="D233" s="34" t="s">
        <v>531</v>
      </c>
      <c r="E233" s="34" t="s">
        <v>194</v>
      </c>
      <c r="F233" s="34">
        <f>1/2</f>
        <v>0.5</v>
      </c>
      <c r="G233" s="37">
        <f>'Basic Rates'!E164</f>
        <v>65</v>
      </c>
      <c r="H233" s="38">
        <f t="shared" si="6"/>
        <v>32.5</v>
      </c>
    </row>
    <row r="234" ht="20.45" customHeight="1" spans="2:8">
      <c r="B234" s="34">
        <f t="shared" si="5"/>
        <v>1.04999999046326</v>
      </c>
      <c r="C234" s="36" t="s">
        <v>245</v>
      </c>
      <c r="D234" s="34" t="s">
        <v>246</v>
      </c>
      <c r="E234" s="457" t="s">
        <v>194</v>
      </c>
      <c r="F234" s="34">
        <v>0.2</v>
      </c>
      <c r="G234" s="37">
        <f>'Basic Rates'!$E$25</f>
        <v>900</v>
      </c>
      <c r="H234" s="38">
        <f t="shared" si="6"/>
        <v>180</v>
      </c>
    </row>
    <row r="235" ht="20.45" customHeight="1" spans="2:8">
      <c r="B235" s="34">
        <f t="shared" si="5"/>
        <v>1.05999999046326</v>
      </c>
      <c r="C235" s="36" t="s">
        <v>74</v>
      </c>
      <c r="D235" s="34" t="s">
        <v>174</v>
      </c>
      <c r="E235" s="457" t="s">
        <v>175</v>
      </c>
      <c r="F235" s="34">
        <v>0.5</v>
      </c>
      <c r="G235" s="37">
        <f>'Basic Rates'!$J$4</f>
        <v>4000</v>
      </c>
      <c r="H235" s="38">
        <f t="shared" si="6"/>
        <v>2000</v>
      </c>
    </row>
    <row r="236" ht="21.75" customHeight="1" spans="2:8">
      <c r="B236" s="34">
        <f t="shared" si="5"/>
        <v>1.06999999046326</v>
      </c>
      <c r="C236" s="36" t="s">
        <v>208</v>
      </c>
      <c r="D236" s="34" t="s">
        <v>209</v>
      </c>
      <c r="E236" s="457" t="s">
        <v>175</v>
      </c>
      <c r="F236" s="34">
        <v>0.75</v>
      </c>
      <c r="G236" s="37">
        <f>'Basic Rates'!$J$10</f>
        <v>2300</v>
      </c>
      <c r="H236" s="38">
        <f t="shared" si="6"/>
        <v>1725</v>
      </c>
    </row>
    <row r="237" ht="20.45" customHeight="1" spans="4:8">
      <c r="D237" s="39" t="s">
        <v>579</v>
      </c>
      <c r="E237" s="40">
        <f>$F$228</f>
        <v>50</v>
      </c>
      <c r="F237" s="40" t="str">
        <f>$G$228</f>
        <v>Sq.ft</v>
      </c>
      <c r="G237" s="41"/>
      <c r="H237" s="38">
        <f>SUM(H230:H236)</f>
        <v>11422.8</v>
      </c>
    </row>
    <row r="238" ht="20.45" customHeight="1" spans="4:8">
      <c r="D238" s="39" t="s">
        <v>580</v>
      </c>
      <c r="E238" s="40" t="str">
        <f>$G$228</f>
        <v>Sq.ft</v>
      </c>
      <c r="F238" s="40"/>
      <c r="G238" s="41"/>
      <c r="H238" s="38">
        <f>H237/E237</f>
        <v>228.456</v>
      </c>
    </row>
    <row r="239" s="4" customFormat="1" ht="20.1" customHeight="1" spans="1:11">
      <c r="A239" s="42"/>
      <c r="B239" s="43"/>
      <c r="C239" s="43"/>
      <c r="D239" s="44" t="s">
        <v>581</v>
      </c>
      <c r="E239" s="45"/>
      <c r="F239" s="45"/>
      <c r="G239" s="46" t="s">
        <v>1194</v>
      </c>
      <c r="H239" s="47">
        <f>ROUND(H238,-1)</f>
        <v>230</v>
      </c>
      <c r="K239" s="58"/>
    </row>
    <row r="240" s="4" customFormat="1" ht="20.1" customHeight="1" spans="1:11">
      <c r="A240" s="42"/>
      <c r="B240" s="43"/>
      <c r="C240" s="43"/>
      <c r="D240" s="44" t="s">
        <v>581</v>
      </c>
      <c r="E240" s="45"/>
      <c r="F240" s="45"/>
      <c r="G240" s="46" t="s">
        <v>583</v>
      </c>
      <c r="H240" s="47">
        <f>H239</f>
        <v>230</v>
      </c>
      <c r="K240" s="58"/>
    </row>
    <row r="241" s="4" customFormat="1" ht="20.1" customHeight="1" spans="1:11">
      <c r="A241" s="42"/>
      <c r="B241" s="43"/>
      <c r="C241" s="6"/>
      <c r="D241" s="44" t="s">
        <v>581</v>
      </c>
      <c r="E241" s="45"/>
      <c r="F241" s="45"/>
      <c r="G241" s="46" t="s">
        <v>584</v>
      </c>
      <c r="H241" s="47">
        <f>H240*10.76</f>
        <v>2474.8</v>
      </c>
      <c r="K241" s="58"/>
    </row>
    <row r="242" s="5" customFormat="1" ht="20.1" customHeight="1" spans="1:11">
      <c r="A242" s="62"/>
      <c r="B242" s="63"/>
      <c r="C242" s="63"/>
      <c r="D242" s="64"/>
      <c r="E242" s="65"/>
      <c r="F242" s="65"/>
      <c r="G242" s="66"/>
      <c r="H242" s="67"/>
      <c r="K242" s="69"/>
    </row>
    <row r="243" s="2" customFormat="1" ht="21" customHeight="1" spans="1:9">
      <c r="A243" s="29" t="s">
        <v>1195</v>
      </c>
      <c r="B243" s="29"/>
      <c r="C243" s="30" t="s">
        <v>1196</v>
      </c>
      <c r="D243" s="30"/>
      <c r="E243" s="30"/>
      <c r="F243" s="30"/>
      <c r="G243" s="30"/>
      <c r="H243" s="30"/>
      <c r="I243" s="57"/>
    </row>
    <row r="244" s="3" customFormat="1" ht="13.5" customHeight="1" spans="4:8">
      <c r="D244" s="31"/>
      <c r="E244" s="32" t="s">
        <v>570</v>
      </c>
      <c r="F244" s="31">
        <v>1</v>
      </c>
      <c r="G244" s="32" t="s">
        <v>571</v>
      </c>
      <c r="H244" s="33"/>
    </row>
    <row r="245" ht="15" customHeight="1" spans="2:8">
      <c r="B245" s="34" t="s">
        <v>194</v>
      </c>
      <c r="C245" s="34" t="s">
        <v>573</v>
      </c>
      <c r="D245" s="34" t="s">
        <v>574</v>
      </c>
      <c r="E245" s="34" t="s">
        <v>6</v>
      </c>
      <c r="F245" s="34" t="s">
        <v>575</v>
      </c>
      <c r="G245" s="34" t="s">
        <v>576</v>
      </c>
      <c r="H245" s="35" t="s">
        <v>577</v>
      </c>
    </row>
    <row r="246" ht="20.45" customHeight="1" spans="2:8">
      <c r="B246" s="34">
        <v>1.00999999046326</v>
      </c>
      <c r="C246" s="36" t="s">
        <v>178</v>
      </c>
      <c r="D246" s="34" t="s">
        <v>179</v>
      </c>
      <c r="E246" s="457" t="s">
        <v>180</v>
      </c>
      <c r="F246" s="34">
        <v>0.667</v>
      </c>
      <c r="G246" s="37">
        <f>'Basic Rates'!$E$5</f>
        <v>4180</v>
      </c>
      <c r="H246" s="38">
        <f>G246*F246</f>
        <v>2788.06</v>
      </c>
    </row>
    <row r="247" ht="20.45" customHeight="1" spans="2:8">
      <c r="B247" s="34">
        <f>B246+0.01</f>
        <v>1.01999999046326</v>
      </c>
      <c r="C247" s="36" t="s">
        <v>245</v>
      </c>
      <c r="D247" s="34" t="s">
        <v>246</v>
      </c>
      <c r="E247" s="457" t="s">
        <v>194</v>
      </c>
      <c r="F247" s="34">
        <v>0.2</v>
      </c>
      <c r="G247" s="37">
        <f>'Basic Rates'!$E$25</f>
        <v>900</v>
      </c>
      <c r="H247" s="38">
        <f>G247*F247</f>
        <v>180</v>
      </c>
    </row>
    <row r="248" ht="20.45" customHeight="1" spans="2:8">
      <c r="B248" s="34">
        <f>B247+0.01</f>
        <v>1.02999999046326</v>
      </c>
      <c r="C248" s="36" t="s">
        <v>74</v>
      </c>
      <c r="D248" s="34" t="s">
        <v>174</v>
      </c>
      <c r="E248" s="34" t="s">
        <v>175</v>
      </c>
      <c r="F248" s="34">
        <v>1.5</v>
      </c>
      <c r="G248" s="37">
        <f>'Basic Rates'!$J$4</f>
        <v>4000</v>
      </c>
      <c r="H248" s="38">
        <f>G248*F248</f>
        <v>6000</v>
      </c>
    </row>
    <row r="249" ht="20.45" customHeight="1" spans="4:8">
      <c r="D249" s="39" t="s">
        <v>579</v>
      </c>
      <c r="E249" s="40">
        <f>$F$244</f>
        <v>1</v>
      </c>
      <c r="F249" s="40" t="str">
        <f>$G$244</f>
        <v>Sqr</v>
      </c>
      <c r="G249" s="41"/>
      <c r="H249" s="38">
        <f>SUM(H246:H248)</f>
        <v>8968.06</v>
      </c>
    </row>
    <row r="250" ht="20.45" customHeight="1" spans="4:8">
      <c r="D250" s="39" t="s">
        <v>580</v>
      </c>
      <c r="E250" s="40" t="str">
        <f>$G$244</f>
        <v>Sqr</v>
      </c>
      <c r="F250" s="40"/>
      <c r="G250" s="41"/>
      <c r="H250" s="38">
        <f>H249/E249</f>
        <v>8968.06</v>
      </c>
    </row>
    <row r="251" s="4" customFormat="1" ht="20.1" customHeight="1" spans="1:11">
      <c r="A251" s="42"/>
      <c r="B251" s="43"/>
      <c r="C251" s="43"/>
      <c r="D251" s="44" t="s">
        <v>581</v>
      </c>
      <c r="E251" s="45"/>
      <c r="F251" s="45"/>
      <c r="G251" s="46" t="s">
        <v>654</v>
      </c>
      <c r="H251" s="47">
        <f>ROUND(H250,-1)</f>
        <v>8970</v>
      </c>
      <c r="K251" s="58"/>
    </row>
    <row r="252" s="4" customFormat="1" ht="20.1" customHeight="1" spans="1:11">
      <c r="A252" s="42"/>
      <c r="B252" s="43"/>
      <c r="C252" s="43"/>
      <c r="D252" s="44" t="s">
        <v>581</v>
      </c>
      <c r="E252" s="45"/>
      <c r="F252" s="45"/>
      <c r="G252" s="46" t="s">
        <v>583</v>
      </c>
      <c r="H252" s="47">
        <f>H251/100</f>
        <v>89.7</v>
      </c>
      <c r="K252" s="58"/>
    </row>
    <row r="253" s="4" customFormat="1" ht="20.1" customHeight="1" spans="1:11">
      <c r="A253" s="42"/>
      <c r="B253" s="43"/>
      <c r="C253" s="6"/>
      <c r="D253" s="44" t="s">
        <v>581</v>
      </c>
      <c r="E253" s="45"/>
      <c r="F253" s="45"/>
      <c r="G253" s="46" t="s">
        <v>584</v>
      </c>
      <c r="H253" s="47">
        <f>H252*10.76</f>
        <v>965.172</v>
      </c>
      <c r="K253" s="58"/>
    </row>
  </sheetData>
  <mergeCells count="32">
    <mergeCell ref="A2:H2"/>
    <mergeCell ref="A10:B10"/>
    <mergeCell ref="C10:H10"/>
    <mergeCell ref="A30:B30"/>
    <mergeCell ref="C30:H30"/>
    <mergeCell ref="A49:B49"/>
    <mergeCell ref="C49:H49"/>
    <mergeCell ref="A67:B67"/>
    <mergeCell ref="C67:H67"/>
    <mergeCell ref="A85:B85"/>
    <mergeCell ref="C85:H85"/>
    <mergeCell ref="A104:H104"/>
    <mergeCell ref="A106:B106"/>
    <mergeCell ref="C106:H106"/>
    <mergeCell ref="A127:B127"/>
    <mergeCell ref="C127:H127"/>
    <mergeCell ref="A140:B140"/>
    <mergeCell ref="C140:H140"/>
    <mergeCell ref="A152:B152"/>
    <mergeCell ref="C152:H152"/>
    <mergeCell ref="A167:B167"/>
    <mergeCell ref="C167:H167"/>
    <mergeCell ref="A180:B180"/>
    <mergeCell ref="C180:H180"/>
    <mergeCell ref="A196:B196"/>
    <mergeCell ref="C196:H196"/>
    <mergeCell ref="A211:B211"/>
    <mergeCell ref="C211:H211"/>
    <mergeCell ref="A227:B227"/>
    <mergeCell ref="C227:H227"/>
    <mergeCell ref="A243:B243"/>
    <mergeCell ref="C243:H243"/>
  </mergeCells>
  <hyperlinks>
    <hyperlink ref="C4" location="'16'!I18" display="Wall"/>
    <hyperlink ref="C5" location="'16'!I122" display="Sofit"/>
    <hyperlink ref="C6" location="'16'!I143" display="Wood"/>
    <hyperlink ref="C7" location="'16'!I214" display="Steel"/>
  </hyperlinks>
  <pageMargins left="1.1" right="0.5" top="0.5" bottom="0.5" header="0.5" footer="0.5"/>
  <pageSetup paperSize="9" orientation="portrait" horizontalDpi="300" verticalDpi="300"/>
  <headerFooter alignWithMargins="0">
    <oddHeader>&amp;R&amp;08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Basic Prices</vt:lpstr>
      <vt:lpstr>Basic Rates</vt:lpstr>
      <vt:lpstr>Activity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14</vt:lpstr>
      <vt:lpstr>13</vt:lpstr>
      <vt:lpstr>15</vt:lpstr>
      <vt:lpstr>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dialog Computer</dc:creator>
  <cp:lastModifiedBy>User</cp:lastModifiedBy>
  <dcterms:created xsi:type="dcterms:W3CDTF">2002-10-30T21:26:00Z</dcterms:created>
  <dcterms:modified xsi:type="dcterms:W3CDTF">2026-01-28T04:15:55Z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BDDD89932C6A4404AF8B4C9884C9A71F_12</vt:lpwstr>
  </property>
  <property fmtid="{D5CDD505-2E9C-101B-9397-08002B2CF9AE}" pid="3" name="KSOProductBuildVer">
    <vt:lpwstr>1033-12.2.0.23196</vt:lpwstr>
  </property>
</Properties>
</file>