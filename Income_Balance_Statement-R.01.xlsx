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ERP\"/>
    </mc:Choice>
  </mc:AlternateContent>
  <xr:revisionPtr revIDLastSave="0" documentId="13_ncr:1_{7C061FDD-CEB6-4293-B73E-284E1C52E362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nstruction Accounting" sheetId="5" r:id="rId1"/>
    <sheet name="Sheet1" sheetId="3" r:id="rId2"/>
    <sheet name="Accounts" sheetId="1" r:id="rId3"/>
  </sheets>
  <externalReferences>
    <externalReference r:id="rId4"/>
  </externalReferences>
  <definedNames>
    <definedName name="_xlnm._FilterDatabase" localSheetId="2" hidden="1">Accounts!$A$2:$AQ$270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9" i="5" l="1"/>
  <c r="D36" i="5" s="1"/>
  <c r="N38" i="5"/>
  <c r="N37" i="5"/>
  <c r="N36" i="5"/>
  <c r="N35" i="5"/>
  <c r="N34" i="5"/>
  <c r="N33" i="5"/>
  <c r="N32" i="5"/>
  <c r="N30" i="5"/>
  <c r="N29" i="5"/>
  <c r="N28" i="5"/>
  <c r="M19" i="5"/>
  <c r="D24" i="5" s="1"/>
  <c r="L19" i="5"/>
  <c r="D23" i="5" s="1"/>
  <c r="N18" i="5"/>
  <c r="N17" i="5"/>
  <c r="N16" i="5"/>
  <c r="N15" i="5"/>
  <c r="N14" i="5"/>
  <c r="N13" i="5"/>
  <c r="N12" i="5"/>
  <c r="N11" i="5"/>
  <c r="N10" i="5"/>
  <c r="L25" i="5"/>
  <c r="L23" i="5"/>
  <c r="L26" i="5"/>
  <c r="L24" i="5"/>
  <c r="L27" i="5"/>
  <c r="N19" i="5" l="1"/>
  <c r="N27" i="5"/>
  <c r="N26" i="5"/>
  <c r="N25" i="5"/>
  <c r="N24" i="5"/>
  <c r="L39" i="5"/>
  <c r="D35" i="5" s="1"/>
  <c r="N23" i="5"/>
  <c r="N39" i="5" l="1"/>
  <c r="O1" i="1" l="1"/>
  <c r="C90" i="3"/>
  <c r="Z1" i="1" l="1"/>
  <c r="Y1" i="1"/>
  <c r="X1" i="1"/>
  <c r="W1" i="1"/>
  <c r="V1" i="1"/>
  <c r="U1" i="1"/>
  <c r="T1" i="1"/>
  <c r="S1" i="1"/>
  <c r="R1" i="1"/>
  <c r="Q1" i="1"/>
  <c r="P1" i="1" l="1"/>
  <c r="C262" i="1"/>
  <c r="M109" i="1" l="1"/>
  <c r="M262" i="1" s="1"/>
  <c r="D7" i="1" l="1"/>
  <c r="D8" i="1" s="1"/>
  <c r="D9" i="1" s="1"/>
  <c r="D10" i="1" s="1"/>
  <c r="D11" i="1" s="1"/>
  <c r="D12" i="1" s="1"/>
  <c r="D13" i="1" s="1"/>
  <c r="D14" i="1" s="1"/>
  <c r="D15" i="1" s="1"/>
  <c r="D262" i="1" s="1"/>
  <c r="C88" i="3" l="1"/>
  <c r="C94" i="3" s="1"/>
  <c r="B18" i="5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l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l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AX62" i="1"/>
  <c r="AY62" i="1" s="1"/>
  <c r="AZ62" i="1" s="1"/>
  <c r="BA62" i="1" s="1"/>
  <c r="BB62" i="1" s="1"/>
  <c r="N205" i="1" l="1"/>
  <c r="N206" i="1" s="1"/>
  <c r="AX63" i="1"/>
  <c r="AY63" i="1" s="1"/>
  <c r="AZ63" i="1" s="1"/>
  <c r="BA63" i="1" s="1"/>
  <c r="BB63" i="1" s="1"/>
  <c r="N207" i="1" l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l="1"/>
  <c r="N262" i="1" s="1"/>
  <c r="O262" i="1" l="1"/>
  <c r="C92" i="3" s="1"/>
  <c r="C96" i="3" s="1"/>
  <c r="E18" i="5"/>
  <c r="H1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9" authorId="0" shapeId="0" xr:uid="{00000000-0006-0000-0000-000001000000}">
      <text>
        <r>
          <rPr>
            <sz val="10"/>
            <color rgb="FF000000"/>
            <rFont val="Calibri"/>
            <family val="2"/>
            <scheme val="minor"/>
          </rPr>
          <t>Variance=Actual Amount−Budgeted Amount</t>
        </r>
      </text>
    </comment>
    <comment ref="N10" authorId="0" shapeId="0" xr:uid="{00000000-0006-0000-0000-000002000000}">
      <text>
        <r>
          <rPr>
            <sz val="10"/>
            <color rgb="FF000000"/>
            <rFont val="Calibri"/>
            <family val="2"/>
            <scheme val="minor"/>
          </rPr>
          <t>Colored cells have already been formulated</t>
        </r>
      </text>
    </comment>
    <comment ref="N23" authorId="0" shapeId="0" xr:uid="{00000000-0006-0000-0000-000003000000}">
      <text>
        <r>
          <rPr>
            <sz val="10"/>
            <color rgb="FF000000"/>
            <rFont val="Calibri"/>
            <family val="2"/>
            <scheme val="minor"/>
          </rPr>
          <t xml:space="preserve">Colored cells have already been formulated
</t>
        </r>
      </text>
    </comment>
  </commentList>
</comments>
</file>

<file path=xl/sharedStrings.xml><?xml version="1.0" encoding="utf-8"?>
<sst xmlns="http://schemas.openxmlformats.org/spreadsheetml/2006/main" count="956" uniqueCount="419">
  <si>
    <t>Date</t>
  </si>
  <si>
    <t>Entry
 No</t>
  </si>
  <si>
    <t>Memo</t>
  </si>
  <si>
    <t>Stage</t>
  </si>
  <si>
    <t>Total</t>
  </si>
  <si>
    <t>Food &amp; Beverages</t>
  </si>
  <si>
    <t>Others</t>
  </si>
  <si>
    <t>Amount</t>
  </si>
  <si>
    <t>Cement</t>
  </si>
  <si>
    <t>Description</t>
  </si>
  <si>
    <t>Site Visit</t>
  </si>
  <si>
    <t>06/1103</t>
  </si>
  <si>
    <t>Mr.Mahiti</t>
  </si>
  <si>
    <t>06/1104</t>
  </si>
  <si>
    <t>Mahagalkadawala Hw</t>
  </si>
  <si>
    <t>06/1118</t>
  </si>
  <si>
    <t>Ajantha(Mason)/Advance</t>
  </si>
  <si>
    <t>06/1120</t>
  </si>
  <si>
    <t>06/1126</t>
  </si>
  <si>
    <t>06/1129</t>
  </si>
  <si>
    <t>06/1130</t>
  </si>
  <si>
    <t>06/1141</t>
  </si>
  <si>
    <t>Removing Glass Roof</t>
  </si>
  <si>
    <t>07/1146</t>
  </si>
  <si>
    <t>07/1147</t>
  </si>
  <si>
    <t>07/1148</t>
  </si>
  <si>
    <t>07/1149</t>
  </si>
  <si>
    <t>Chathuranga Hw</t>
  </si>
  <si>
    <t>07/1151</t>
  </si>
  <si>
    <t>Multi Hw</t>
  </si>
  <si>
    <t>07/1152</t>
  </si>
  <si>
    <t>Foods -Mr.Nazir</t>
  </si>
  <si>
    <t>Mr.Nazir (Advance Payment)</t>
  </si>
  <si>
    <t>Mr.Nazir-Brick Wall Demolish</t>
  </si>
  <si>
    <t>07/1154</t>
  </si>
  <si>
    <t>Mr.Nazir</t>
  </si>
  <si>
    <t>07/1155</t>
  </si>
  <si>
    <t>07/1156</t>
  </si>
  <si>
    <t>Mr.Nazir- Foods</t>
  </si>
  <si>
    <t>07/1157</t>
  </si>
  <si>
    <t>07/1159</t>
  </si>
  <si>
    <t>Nilu(Mason)/Salary</t>
  </si>
  <si>
    <t>07/1172</t>
  </si>
  <si>
    <t>07/1183</t>
  </si>
  <si>
    <t>07/1184</t>
  </si>
  <si>
    <t>Nilu(Mason)/Advance</t>
  </si>
  <si>
    <t>07/1191</t>
  </si>
  <si>
    <t>07/1193</t>
  </si>
  <si>
    <t>Site  Visit</t>
  </si>
  <si>
    <t>07/1204</t>
  </si>
  <si>
    <t>07/1211</t>
  </si>
  <si>
    <t>07/1215</t>
  </si>
  <si>
    <t>Priyantha(u/sk)/Advance</t>
  </si>
  <si>
    <t>07/1216</t>
  </si>
  <si>
    <t>07/1217</t>
  </si>
  <si>
    <t>07/1218</t>
  </si>
  <si>
    <t>Cement Bag 06 Nr</t>
  </si>
  <si>
    <t>07/1227</t>
  </si>
  <si>
    <t>Sand Cube 01</t>
  </si>
  <si>
    <t>07/1228</t>
  </si>
  <si>
    <t>3/4" Metal Cube 01</t>
  </si>
  <si>
    <t>07/1229</t>
  </si>
  <si>
    <t>07/1237</t>
  </si>
  <si>
    <t>07/1241</t>
  </si>
  <si>
    <t>Linko Construction</t>
  </si>
  <si>
    <t>07/1242</t>
  </si>
  <si>
    <t>07/1247</t>
  </si>
  <si>
    <t>07/1248</t>
  </si>
  <si>
    <t>07/1249</t>
  </si>
  <si>
    <t>07/1252</t>
  </si>
  <si>
    <t>Chuti Mahaththaya</t>
  </si>
  <si>
    <t>07/1254</t>
  </si>
  <si>
    <t>08/1285</t>
  </si>
  <si>
    <t>08/1297</t>
  </si>
  <si>
    <t>08/1298</t>
  </si>
  <si>
    <t>08/1306</t>
  </si>
  <si>
    <t>Cainz Hw</t>
  </si>
  <si>
    <t>08/1307</t>
  </si>
  <si>
    <t>08/1308</t>
  </si>
  <si>
    <t>08/1329</t>
  </si>
  <si>
    <t>08/1337</t>
  </si>
  <si>
    <t>08/1355</t>
  </si>
  <si>
    <t>Dewmith Construction</t>
  </si>
  <si>
    <t>08/1356</t>
  </si>
  <si>
    <t>09/1364</t>
  </si>
  <si>
    <t>Central Hw</t>
  </si>
  <si>
    <t>09/1375</t>
  </si>
  <si>
    <t>09/1381</t>
  </si>
  <si>
    <t>09/1386</t>
  </si>
  <si>
    <t>Excavator</t>
  </si>
  <si>
    <t>09/1387</t>
  </si>
  <si>
    <t>09/1389</t>
  </si>
  <si>
    <t>09/1390</t>
  </si>
  <si>
    <t>M City Hw</t>
  </si>
  <si>
    <t>09/1405</t>
  </si>
  <si>
    <t>Chamidu Timbers</t>
  </si>
  <si>
    <t>09/1408</t>
  </si>
  <si>
    <t>09/1431</t>
  </si>
  <si>
    <t>09/1432</t>
  </si>
  <si>
    <t>09/1433</t>
  </si>
  <si>
    <t>09/1434</t>
  </si>
  <si>
    <t>09/1435</t>
  </si>
  <si>
    <t>09/1436</t>
  </si>
  <si>
    <t>09/1437</t>
  </si>
  <si>
    <t>09/1445</t>
  </si>
  <si>
    <t>09/1450</t>
  </si>
  <si>
    <t>09/1457</t>
  </si>
  <si>
    <t>Jagath(Mason)/Salary (Slab Repairing)</t>
  </si>
  <si>
    <t>09/1452</t>
  </si>
  <si>
    <t>09/1460</t>
  </si>
  <si>
    <t>09/1503</t>
  </si>
  <si>
    <t>09/1527</t>
  </si>
  <si>
    <t>Modern Hardware</t>
  </si>
  <si>
    <t>09/1533</t>
  </si>
  <si>
    <t>09/1539</t>
  </si>
  <si>
    <t>09/1540</t>
  </si>
  <si>
    <t>10/1546</t>
  </si>
  <si>
    <t>10/1550</t>
  </si>
  <si>
    <t>10/1561</t>
  </si>
  <si>
    <t>10/1562</t>
  </si>
  <si>
    <t>10/1563</t>
  </si>
  <si>
    <t>10/1566</t>
  </si>
  <si>
    <t>10/1569</t>
  </si>
  <si>
    <t>10/1584</t>
  </si>
  <si>
    <t xml:space="preserve">Jagath(Mason)/Salary </t>
  </si>
  <si>
    <t>10/1586</t>
  </si>
  <si>
    <t>10/1587</t>
  </si>
  <si>
    <t>10/1588</t>
  </si>
  <si>
    <t>10/1589</t>
  </si>
  <si>
    <t>10/1590</t>
  </si>
  <si>
    <t>Lion Plywood</t>
  </si>
  <si>
    <t>10/1594</t>
  </si>
  <si>
    <t>10/1595</t>
  </si>
  <si>
    <t>10/1596</t>
  </si>
  <si>
    <t>Finex Engineering</t>
  </si>
  <si>
    <t>10/1601</t>
  </si>
  <si>
    <t>10/1605</t>
  </si>
  <si>
    <t>10/1606</t>
  </si>
  <si>
    <t>Jenerator</t>
  </si>
  <si>
    <t>10/1607</t>
  </si>
  <si>
    <t>10/1610</t>
  </si>
  <si>
    <t>10/1611</t>
  </si>
  <si>
    <t>Jagath(Mason)/Salary</t>
  </si>
  <si>
    <t>10/1612</t>
  </si>
  <si>
    <t>10/1616</t>
  </si>
  <si>
    <t>10/1620</t>
  </si>
  <si>
    <t>K.S.De Silva and Son</t>
  </si>
  <si>
    <t>10/1624</t>
  </si>
  <si>
    <t>Neel(Tree Cutter)</t>
  </si>
  <si>
    <t>11/1726</t>
  </si>
  <si>
    <t>11/1727</t>
  </si>
  <si>
    <t>11/1733</t>
  </si>
  <si>
    <t>11/1734</t>
  </si>
  <si>
    <t>Bricks = 3000Nr</t>
  </si>
  <si>
    <t>11/1735</t>
  </si>
  <si>
    <t>11/1736</t>
  </si>
  <si>
    <t>11/1737</t>
  </si>
  <si>
    <t>11/1740</t>
  </si>
  <si>
    <t>11/1743</t>
  </si>
  <si>
    <t>11/1744</t>
  </si>
  <si>
    <t>12/1754</t>
  </si>
  <si>
    <t>12/1752</t>
  </si>
  <si>
    <t>12/1771</t>
  </si>
  <si>
    <t>12/1783</t>
  </si>
  <si>
    <t>12/1796</t>
  </si>
  <si>
    <t>12/1802</t>
  </si>
  <si>
    <t>Welagedara Hw</t>
  </si>
  <si>
    <t>12/1806</t>
  </si>
  <si>
    <t>12/1810</t>
  </si>
  <si>
    <t>Sand Cube 02</t>
  </si>
  <si>
    <t>12/1811</t>
  </si>
  <si>
    <t>12/1832</t>
  </si>
  <si>
    <t>12/1838</t>
  </si>
  <si>
    <t>12/1843</t>
  </si>
  <si>
    <t>12/1848</t>
  </si>
  <si>
    <t>12/1859</t>
  </si>
  <si>
    <t>12/1871</t>
  </si>
  <si>
    <t>12/1881</t>
  </si>
  <si>
    <t>12/1883</t>
  </si>
  <si>
    <t>12/1884</t>
  </si>
  <si>
    <t>12/1885</t>
  </si>
  <si>
    <t>12/1886</t>
  </si>
  <si>
    <t>12/1887</t>
  </si>
  <si>
    <t>12/1891</t>
  </si>
  <si>
    <t>12/1894</t>
  </si>
  <si>
    <t>12/1895</t>
  </si>
  <si>
    <t>12/1896</t>
  </si>
  <si>
    <t>01/1912</t>
  </si>
  <si>
    <t>12/1900</t>
  </si>
  <si>
    <t>01/1913</t>
  </si>
  <si>
    <t>01/1920</t>
  </si>
  <si>
    <t>01/1923</t>
  </si>
  <si>
    <t>01/1925</t>
  </si>
  <si>
    <t>01/1926</t>
  </si>
  <si>
    <t>SF Putty</t>
  </si>
  <si>
    <t>01/1927</t>
  </si>
  <si>
    <t>01/1928</t>
  </si>
  <si>
    <t>Vega (Tools Rent)</t>
  </si>
  <si>
    <t>01/1929</t>
  </si>
  <si>
    <t>01/1930</t>
  </si>
  <si>
    <t>Ravi(Painter)/Advance</t>
  </si>
  <si>
    <t>01/1931</t>
  </si>
  <si>
    <t>01/1933</t>
  </si>
  <si>
    <t>01/1934</t>
  </si>
  <si>
    <t>01/1935</t>
  </si>
  <si>
    <t>01/1936</t>
  </si>
  <si>
    <t>A.C.K Colour House</t>
  </si>
  <si>
    <t>01/1939</t>
  </si>
  <si>
    <t>01/1940</t>
  </si>
  <si>
    <t>01/1944</t>
  </si>
  <si>
    <t>01/1945</t>
  </si>
  <si>
    <t>01/1946</t>
  </si>
  <si>
    <t>01/1947</t>
  </si>
  <si>
    <t>01/1948</t>
  </si>
  <si>
    <t>01/1951</t>
  </si>
  <si>
    <t>Anthony's Hw</t>
  </si>
  <si>
    <t>01/1952</t>
  </si>
  <si>
    <t>6"x9" Struips</t>
  </si>
  <si>
    <t>01/1953</t>
  </si>
  <si>
    <t>Binding 2Kg</t>
  </si>
  <si>
    <t>01/1954</t>
  </si>
  <si>
    <t>01/1955</t>
  </si>
  <si>
    <t>01/1956</t>
  </si>
  <si>
    <t>01/1957</t>
  </si>
  <si>
    <t>01/1958</t>
  </si>
  <si>
    <t>Electrical Items</t>
  </si>
  <si>
    <t>01/1959</t>
  </si>
  <si>
    <t>01/1961</t>
  </si>
  <si>
    <t>01/1962</t>
  </si>
  <si>
    <t>01/1964</t>
  </si>
  <si>
    <t>S.N.S.Construction</t>
  </si>
  <si>
    <t>01/1965</t>
  </si>
  <si>
    <t>01/1966</t>
  </si>
  <si>
    <t>01/1968</t>
  </si>
  <si>
    <t>01/1971</t>
  </si>
  <si>
    <t>01/1972</t>
  </si>
  <si>
    <t>01/1974</t>
  </si>
  <si>
    <t>01/1975</t>
  </si>
  <si>
    <t>01/1977</t>
  </si>
  <si>
    <t>01/1983</t>
  </si>
  <si>
    <t>01/1984</t>
  </si>
  <si>
    <t>Amila(Electrical)/Advance</t>
  </si>
  <si>
    <t>02/1985</t>
  </si>
  <si>
    <t>Aluminium Works</t>
  </si>
  <si>
    <t>Painting Works</t>
  </si>
  <si>
    <t>Electrical Works</t>
  </si>
  <si>
    <t>Service Charge</t>
  </si>
  <si>
    <t>Material</t>
  </si>
  <si>
    <t>02/1988</t>
  </si>
  <si>
    <t>02/1989</t>
  </si>
  <si>
    <t>02/1991</t>
  </si>
  <si>
    <t>02/1992</t>
  </si>
  <si>
    <t>02/1994</t>
  </si>
  <si>
    <t>02/1995</t>
  </si>
  <si>
    <t>Polythene</t>
  </si>
  <si>
    <t>02/1996</t>
  </si>
  <si>
    <t>02/1998</t>
  </si>
  <si>
    <t>02/2000</t>
  </si>
  <si>
    <t>02/2004</t>
  </si>
  <si>
    <t>02/2005</t>
  </si>
  <si>
    <t>Pearl waterproofing solution</t>
  </si>
  <si>
    <t>02/2007</t>
  </si>
  <si>
    <t>02/2009</t>
  </si>
  <si>
    <t>02/2010</t>
  </si>
  <si>
    <t>02/2012</t>
  </si>
  <si>
    <t>02/2015</t>
  </si>
  <si>
    <t>02/2016</t>
  </si>
  <si>
    <t>Hardware Item</t>
  </si>
  <si>
    <t>03/2031</t>
  </si>
  <si>
    <t>03/2036</t>
  </si>
  <si>
    <t>Star Hw</t>
  </si>
  <si>
    <t>03/2041</t>
  </si>
  <si>
    <t>03/2042</t>
  </si>
  <si>
    <t>03/2043</t>
  </si>
  <si>
    <t>Manjula(Welder)/Advance</t>
  </si>
  <si>
    <t>03/2053</t>
  </si>
  <si>
    <t>03/2054</t>
  </si>
  <si>
    <t>03/2060</t>
  </si>
  <si>
    <t>03/2079</t>
  </si>
  <si>
    <t>03/2088</t>
  </si>
  <si>
    <t>03/2094</t>
  </si>
  <si>
    <t>03/2095</t>
  </si>
  <si>
    <t>03/2096</t>
  </si>
  <si>
    <t>03/2120</t>
  </si>
  <si>
    <t>03/2134</t>
  </si>
  <si>
    <t>03/2135</t>
  </si>
  <si>
    <t>03/2136</t>
  </si>
  <si>
    <t>03/2139</t>
  </si>
  <si>
    <t>03/2141</t>
  </si>
  <si>
    <t>03/2143</t>
  </si>
  <si>
    <t>03/2147</t>
  </si>
  <si>
    <t>03/2148</t>
  </si>
  <si>
    <t>03/2150</t>
  </si>
  <si>
    <t>Sika/Waterproofing</t>
  </si>
  <si>
    <t>03/2155</t>
  </si>
  <si>
    <t>03/2164</t>
  </si>
  <si>
    <t>M.M Hardware</t>
  </si>
  <si>
    <t>04/2166</t>
  </si>
  <si>
    <t>04/2167</t>
  </si>
  <si>
    <t>04/2169</t>
  </si>
  <si>
    <t>S.M.Metals</t>
  </si>
  <si>
    <t>04/2170</t>
  </si>
  <si>
    <t>Jayalanka Hw</t>
  </si>
  <si>
    <t>04/2172</t>
  </si>
  <si>
    <t>Ruwan(Tiler)/Advance</t>
  </si>
  <si>
    <t>04/2174</t>
  </si>
  <si>
    <t>04/2179</t>
  </si>
  <si>
    <t>04/2186</t>
  </si>
  <si>
    <t>04/2189</t>
  </si>
  <si>
    <t>Lanka Tiles</t>
  </si>
  <si>
    <t>04/2192</t>
  </si>
  <si>
    <t>04/2193</t>
  </si>
  <si>
    <t>04/2195</t>
  </si>
  <si>
    <t>04/2197</t>
  </si>
  <si>
    <t>A.K.Hardware</t>
  </si>
  <si>
    <t>04/2198</t>
  </si>
  <si>
    <t>Card Board</t>
  </si>
  <si>
    <t>04/2199</t>
  </si>
  <si>
    <t>04/2203</t>
  </si>
  <si>
    <t>04/2207</t>
  </si>
  <si>
    <t>04/2208</t>
  </si>
  <si>
    <t>04/2209</t>
  </si>
  <si>
    <t>04/2210</t>
  </si>
  <si>
    <t>Store</t>
  </si>
  <si>
    <t>04/2214</t>
  </si>
  <si>
    <t>04/2217</t>
  </si>
  <si>
    <t>04/2221</t>
  </si>
  <si>
    <t>04/2222</t>
  </si>
  <si>
    <t>Track Repairing</t>
  </si>
  <si>
    <t>02/2267</t>
  </si>
  <si>
    <t>Mr. Lalith Suranga (Millawa/New Works)</t>
  </si>
  <si>
    <t>Remarks</t>
  </si>
  <si>
    <t>Stage-01</t>
  </si>
  <si>
    <t>Steel Works</t>
  </si>
  <si>
    <t>Tile Works</t>
  </si>
  <si>
    <t>Plastering Works</t>
  </si>
  <si>
    <t>Timber Works</t>
  </si>
  <si>
    <t>Waterproofing</t>
  </si>
  <si>
    <t>Roofing</t>
  </si>
  <si>
    <t xml:space="preserve">Transport
</t>
  </si>
  <si>
    <t>Machinery</t>
  </si>
  <si>
    <t>Major Material</t>
  </si>
  <si>
    <t>Utility Bills</t>
  </si>
  <si>
    <t>Fuel</t>
  </si>
  <si>
    <t>Date2</t>
  </si>
  <si>
    <t>TOTAL RECEIVED</t>
  </si>
  <si>
    <t>TOTAL EXPENSES</t>
  </si>
  <si>
    <t>OUTSTANDING 
PAYMENTS</t>
  </si>
  <si>
    <t>70% OF TOTAL 
RECEIVED</t>
  </si>
  <si>
    <t>BALANCE</t>
  </si>
  <si>
    <t>Outstanding 
Payments</t>
  </si>
  <si>
    <t>St Anthonys' Hardware</t>
  </si>
  <si>
    <t>Labour / Sub Contractor</t>
  </si>
  <si>
    <t>Minor Material</t>
  </si>
  <si>
    <t>INCOME BALANCE STATEMENT</t>
  </si>
  <si>
    <t>Category</t>
  </si>
  <si>
    <t>Labour</t>
  </si>
  <si>
    <t>Transport</t>
  </si>
  <si>
    <t>Sub Contractor</t>
  </si>
  <si>
    <t>Stage-02</t>
  </si>
  <si>
    <t>Stage-03</t>
  </si>
  <si>
    <t>Stage-04</t>
  </si>
  <si>
    <t>Stage-05</t>
  </si>
  <si>
    <t>Stage-06</t>
  </si>
  <si>
    <t>Masonry Works</t>
  </si>
  <si>
    <t>Plumbing Works</t>
  </si>
  <si>
    <t>Rain Gutters</t>
  </si>
  <si>
    <t>BOQ Item</t>
  </si>
  <si>
    <t>Cumulative</t>
  </si>
  <si>
    <t>Cumulative2</t>
  </si>
  <si>
    <t>Cash</t>
  </si>
  <si>
    <t>Bank</t>
  </si>
  <si>
    <t>Online</t>
  </si>
  <si>
    <t>Row Labels</t>
  </si>
  <si>
    <t>Grand Total</t>
  </si>
  <si>
    <t>Sum of Total</t>
  </si>
  <si>
    <t>Payment No</t>
  </si>
  <si>
    <t>CONSTRUCTION ACCOUNTING</t>
  </si>
  <si>
    <t>Project Information</t>
  </si>
  <si>
    <t>Income</t>
  </si>
  <si>
    <t>Actual</t>
  </si>
  <si>
    <t xml:space="preserve">Budget </t>
  </si>
  <si>
    <t>Variances</t>
  </si>
  <si>
    <t>Project Name</t>
  </si>
  <si>
    <t>Commercial Office Building</t>
  </si>
  <si>
    <t>Contract Amount</t>
  </si>
  <si>
    <t>Project ID</t>
  </si>
  <si>
    <t>Change Orders</t>
  </si>
  <si>
    <t>Project Manager</t>
  </si>
  <si>
    <t>Progress Payments</t>
  </si>
  <si>
    <t>Project Start Date</t>
  </si>
  <si>
    <t>Retainage Released</t>
  </si>
  <si>
    <t>Project End Date</t>
  </si>
  <si>
    <t>Total Actual Income</t>
  </si>
  <si>
    <t>Total Actual Expenses</t>
  </si>
  <si>
    <t>Net Income</t>
  </si>
  <si>
    <t>Total Income</t>
  </si>
  <si>
    <t>INCOME</t>
  </si>
  <si>
    <t>Expenses</t>
  </si>
  <si>
    <t>Direct Costs</t>
  </si>
  <si>
    <t>Labor</t>
  </si>
  <si>
    <t>Materials</t>
  </si>
  <si>
    <t>Equipment</t>
  </si>
  <si>
    <t>Subcontractor Costs</t>
  </si>
  <si>
    <t>Other Direct Costs</t>
  </si>
  <si>
    <t>EXPENSES</t>
  </si>
  <si>
    <t>Indirect Costs</t>
  </si>
  <si>
    <t>Overhead</t>
  </si>
  <si>
    <t>Administrative Expenses</t>
  </si>
  <si>
    <t>Insurance</t>
  </si>
  <si>
    <t>Permits and Fees</t>
  </si>
  <si>
    <t>Total Expenses</t>
  </si>
  <si>
    <t>info@vegahomes.lk</t>
  </si>
  <si>
    <t>www.vegahomes.lk</t>
  </si>
  <si>
    <t>No 494, Puttalam Road, Kurunegala</t>
  </si>
  <si>
    <t>+9471 274 1577, +947777 20 888</t>
  </si>
  <si>
    <t>VH-001</t>
  </si>
  <si>
    <t>Column Labels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</si>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</sst>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yyyy/mm/dd;@"/>
    <numFmt numFmtId="165" formatCode="[$-409]d\-mmm\-yy;@"/>
    <numFmt numFmtId="166" formatCode="_(* #,##0_);_(* \(#,##0\);_(* &quot;-&quot;??_);_(@_)"/>
    <numFmt numFmtId="167" formatCode="yyyy\-mm\-dd;@"/>
    <numFmt numFmtId="168" formatCode="#,##0;[Red]#,##0"/>
    <numFmt numFmtId="169" formatCode="#,##0.00;[Red]#,##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b/>
      <sz val="11"/>
      <color theme="1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b/>
      <sz val="10"/>
      <color theme="0"/>
      <name val="Arial Narrow"/>
      <family val="2"/>
    </font>
    <font>
      <b/>
      <sz val="14"/>
      <color theme="1"/>
      <name val="Arial Narrow"/>
      <family val="2"/>
    </font>
    <font>
      <sz val="11"/>
      <color theme="0"/>
      <name val="Arial Narrow"/>
      <family val="2"/>
    </font>
    <font>
      <sz val="10"/>
      <color theme="0"/>
      <name val="Arial Narrow"/>
      <family val="2"/>
    </font>
    <font>
      <sz val="10"/>
      <color rgb="FF000000"/>
      <name val="Calibri"/>
      <family val="2"/>
      <scheme val="minor"/>
    </font>
    <font>
      <sz val="10"/>
      <color theme="1"/>
      <name val="Poppins"/>
    </font>
    <font>
      <b/>
      <sz val="35"/>
      <color rgb="FF7F6000"/>
      <name val="Poppins"/>
    </font>
    <font>
      <b/>
      <sz val="15"/>
      <color theme="1"/>
      <name val="Poppins"/>
    </font>
    <font>
      <b/>
      <sz val="14"/>
      <color rgb="FFFFFFFF"/>
      <name val="Poppins"/>
    </font>
    <font>
      <b/>
      <sz val="15"/>
      <color rgb="FFFFFFFF"/>
      <name val="Poppins"/>
    </font>
    <font>
      <b/>
      <sz val="12"/>
      <color rgb="FF374151"/>
      <name val="Poppins"/>
    </font>
    <font>
      <sz val="10"/>
      <name val="Arial"/>
      <family val="2"/>
    </font>
    <font>
      <sz val="12"/>
      <color rgb="FF374151"/>
      <name val="Poppins"/>
    </font>
    <font>
      <sz val="12"/>
      <color theme="1"/>
      <name val="Poppins"/>
    </font>
    <font>
      <b/>
      <sz val="16"/>
      <color rgb="FFFFFFFF"/>
      <name val="Poppins"/>
    </font>
    <font>
      <b/>
      <sz val="10"/>
      <color theme="1"/>
      <name val="Poppins"/>
    </font>
    <font>
      <b/>
      <sz val="17"/>
      <color rgb="FFFFFFFF"/>
      <name val="Poppins"/>
    </font>
    <font>
      <b/>
      <sz val="19"/>
      <color rgb="FF0C343D"/>
      <name val="Poppins"/>
    </font>
    <font>
      <sz val="17"/>
      <color rgb="FF000000"/>
      <name val="Poppins"/>
    </font>
    <font>
      <b/>
      <sz val="19"/>
      <color rgb="FF660000"/>
      <name val="Poppins"/>
    </font>
    <font>
      <b/>
      <sz val="19"/>
      <color rgb="FF274E13"/>
      <name val="Poppins"/>
    </font>
    <font>
      <b/>
      <sz val="17"/>
      <color rgb="FF000000"/>
      <name val="Poppins"/>
    </font>
    <font>
      <b/>
      <sz val="15"/>
      <color rgb="FF374151"/>
      <name val="Poppins"/>
    </font>
    <font>
      <sz val="6"/>
      <color rgb="FF374151"/>
      <name val="Poppins"/>
    </font>
    <font>
      <sz val="6"/>
      <color theme="1"/>
      <name val="Poppins"/>
    </font>
    <font>
      <b/>
      <sz val="6"/>
      <color theme="1"/>
      <name val="Poppins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9000"/>
        <bgColor rgb="FFBF9000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34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666666"/>
      </bottom>
      <diagonal/>
    </border>
    <border>
      <left/>
      <right style="thin">
        <color rgb="FF666666"/>
      </right>
      <top style="thin">
        <color rgb="FF000000"/>
      </top>
      <bottom style="thin">
        <color rgb="FF666666"/>
      </bottom>
      <diagonal/>
    </border>
    <border>
      <left style="thin">
        <color rgb="FF666666"/>
      </left>
      <right/>
      <top style="thin">
        <color rgb="FF000000"/>
      </top>
      <bottom style="thin">
        <color rgb="FF666666"/>
      </bottom>
      <diagonal/>
    </border>
    <border>
      <left/>
      <right/>
      <top style="thin">
        <color rgb="FF000000"/>
      </top>
      <bottom style="thin">
        <color rgb="FF666666"/>
      </bottom>
      <diagonal/>
    </border>
    <border>
      <left/>
      <right style="thin">
        <color rgb="FF000000"/>
      </right>
      <top style="thin">
        <color rgb="FF000000"/>
      </top>
      <bottom style="thin">
        <color rgb="FF666666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000000"/>
      </right>
      <top style="thin">
        <color rgb="FF666666"/>
      </top>
      <bottom style="thin">
        <color rgb="FF666666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666666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000000"/>
      </right>
      <top style="thin">
        <color rgb="FF66666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7" fillId="0" borderId="0"/>
    <xf numFmtId="0" fontId="39" fillId="0" borderId="0" applyNumberFormat="0" applyFill="0" applyBorder="0" applyAlignment="0" applyProtection="0"/>
  </cellStyleXfs>
  <cellXfs count="203">
    <xf numFmtId="0" fontId="0" fillId="0" borderId="0" xfId="0"/>
    <xf numFmtId="43" fontId="3" fillId="0" borderId="0" xfId="1" applyFont="1" applyBorder="1"/>
    <xf numFmtId="167" fontId="7" fillId="0" borderId="0" xfId="0" applyNumberFormat="1" applyFont="1" applyFill="1" applyBorder="1" applyAlignment="1">
      <alignment vertical="center"/>
    </xf>
    <xf numFmtId="43" fontId="9" fillId="0" borderId="0" xfId="1" applyFont="1" applyFill="1" applyBorder="1" applyAlignment="1">
      <alignment horizontal="center" vertical="center"/>
    </xf>
    <xf numFmtId="43" fontId="7" fillId="0" borderId="0" xfId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43" fontId="4" fillId="0" borderId="0" xfId="1" applyFont="1" applyFill="1" applyBorder="1"/>
    <xf numFmtId="43" fontId="5" fillId="0" borderId="0" xfId="1" applyFont="1" applyFill="1" applyBorder="1"/>
    <xf numFmtId="43" fontId="10" fillId="0" borderId="0" xfId="1" applyFont="1" applyFill="1" applyBorder="1"/>
    <xf numFmtId="43" fontId="4" fillId="0" borderId="0" xfId="1" applyFont="1" applyBorder="1"/>
    <xf numFmtId="0" fontId="4" fillId="0" borderId="0" xfId="0" applyFont="1" applyBorder="1"/>
    <xf numFmtId="43" fontId="5" fillId="0" borderId="0" xfId="1" applyFont="1" applyBorder="1"/>
    <xf numFmtId="0" fontId="5" fillId="0" borderId="0" xfId="0" applyFont="1" applyBorder="1"/>
    <xf numFmtId="43" fontId="10" fillId="0" borderId="0" xfId="1" applyFont="1" applyBorder="1"/>
    <xf numFmtId="0" fontId="10" fillId="0" borderId="0" xfId="0" applyFont="1" applyBorder="1"/>
    <xf numFmtId="43" fontId="11" fillId="0" borderId="0" xfId="1" applyFont="1" applyBorder="1"/>
    <xf numFmtId="43" fontId="12" fillId="0" borderId="0" xfId="1" applyFont="1" applyBorder="1"/>
    <xf numFmtId="0" fontId="12" fillId="0" borderId="0" xfId="0" applyFont="1" applyBorder="1"/>
    <xf numFmtId="0" fontId="8" fillId="0" borderId="0" xfId="0" applyFont="1" applyBorder="1"/>
    <xf numFmtId="0" fontId="11" fillId="0" borderId="0" xfId="0" applyFont="1" applyBorder="1"/>
    <xf numFmtId="43" fontId="12" fillId="0" borderId="0" xfId="0" applyNumberFormat="1" applyFont="1" applyBorder="1"/>
    <xf numFmtId="0" fontId="6" fillId="0" borderId="0" xfId="0" applyFont="1" applyBorder="1"/>
    <xf numFmtId="43" fontId="5" fillId="0" borderId="0" xfId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43" fontId="6" fillId="0" borderId="0" xfId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7" fillId="0" borderId="0" xfId="0" applyFont="1" applyBorder="1"/>
    <xf numFmtId="167" fontId="4" fillId="0" borderId="0" xfId="0" applyNumberFormat="1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167" fontId="5" fillId="0" borderId="0" xfId="0" applyNumberFormat="1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43" fontId="5" fillId="0" borderId="0" xfId="0" applyNumberFormat="1" applyFont="1" applyBorder="1"/>
    <xf numFmtId="0" fontId="3" fillId="0" borderId="0" xfId="0" applyFont="1" applyBorder="1" applyAlignment="1">
      <alignment horizontal="left"/>
    </xf>
    <xf numFmtId="167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43" fontId="4" fillId="0" borderId="0" xfId="0" applyNumberFormat="1" applyFont="1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43" fontId="7" fillId="0" borderId="0" xfId="1" applyFont="1" applyBorder="1"/>
    <xf numFmtId="167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43" fontId="4" fillId="0" borderId="0" xfId="0" applyNumberFormat="1" applyFont="1" applyBorder="1" applyAlignment="1">
      <alignment horizontal="center"/>
    </xf>
    <xf numFmtId="0" fontId="10" fillId="0" borderId="0" xfId="0" applyFont="1" applyBorder="1" applyAlignment="1">
      <alignment horizontal="left"/>
    </xf>
    <xf numFmtId="167" fontId="10" fillId="0" borderId="0" xfId="0" applyNumberFormat="1" applyFont="1" applyBorder="1"/>
    <xf numFmtId="0" fontId="9" fillId="0" borderId="0" xfId="0" applyFont="1" applyBorder="1" applyAlignment="1">
      <alignment horizontal="left"/>
    </xf>
    <xf numFmtId="43" fontId="12" fillId="0" borderId="0" xfId="1" applyFont="1" applyFill="1" applyBorder="1" applyAlignment="1">
      <alignment horizontal="center" vertical="center" wrapText="1"/>
    </xf>
    <xf numFmtId="166" fontId="11" fillId="0" borderId="0" xfId="1" applyNumberFormat="1" applyFont="1" applyFill="1" applyBorder="1" applyAlignment="1">
      <alignment horizontal="center" vertical="center" wrapText="1"/>
    </xf>
    <xf numFmtId="17" fontId="11" fillId="0" borderId="0" xfId="0" applyNumberFormat="1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center" vertical="center"/>
    </xf>
    <xf numFmtId="17" fontId="11" fillId="2" borderId="0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3" fontId="3" fillId="0" borderId="0" xfId="1" applyFont="1" applyFill="1" applyBorder="1"/>
    <xf numFmtId="0" fontId="7" fillId="0" borderId="0" xfId="0" applyFont="1" applyBorder="1" applyAlignment="1">
      <alignment horizontal="center" vertical="center"/>
    </xf>
    <xf numFmtId="43" fontId="7" fillId="0" borderId="0" xfId="1" applyFont="1" applyFill="1" applyBorder="1"/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/>
    <xf numFmtId="0" fontId="7" fillId="0" borderId="0" xfId="0" applyFont="1" applyBorder="1" applyAlignment="1">
      <alignment horizontal="right"/>
    </xf>
    <xf numFmtId="165" fontId="6" fillId="0" borderId="1" xfId="0" applyNumberFormat="1" applyFont="1" applyFill="1" applyBorder="1" applyAlignment="1">
      <alignment vertical="center"/>
    </xf>
    <xf numFmtId="165" fontId="11" fillId="0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/>
    <xf numFmtId="165" fontId="5" fillId="0" borderId="1" xfId="0" applyNumberFormat="1" applyFont="1" applyBorder="1"/>
    <xf numFmtId="165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165" fontId="7" fillId="0" borderId="1" xfId="0" applyNumberFormat="1" applyFont="1" applyBorder="1"/>
    <xf numFmtId="165" fontId="10" fillId="0" borderId="1" xfId="0" applyNumberFormat="1" applyFont="1" applyBorder="1"/>
    <xf numFmtId="165" fontId="9" fillId="0" borderId="1" xfId="0" applyNumberFormat="1" applyFont="1" applyBorder="1"/>
    <xf numFmtId="43" fontId="11" fillId="0" borderId="1" xfId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vertical="center"/>
    </xf>
    <xf numFmtId="165" fontId="15" fillId="0" borderId="1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0" fontId="15" fillId="0" borderId="0" xfId="0" applyFont="1" applyBorder="1"/>
    <xf numFmtId="0" fontId="16" fillId="0" borderId="0" xfId="0" applyFont="1" applyBorder="1"/>
    <xf numFmtId="0" fontId="16" fillId="0" borderId="0" xfId="0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vertical="center"/>
    </xf>
    <xf numFmtId="43" fontId="6" fillId="0" borderId="0" xfId="1" applyFont="1" applyFill="1" applyBorder="1" applyAlignment="1">
      <alignment vertical="center"/>
    </xf>
    <xf numFmtId="0" fontId="12" fillId="0" borderId="0" xfId="0" applyFont="1" applyFill="1" applyBorder="1"/>
    <xf numFmtId="0" fontId="4" fillId="0" borderId="0" xfId="0" applyFont="1" applyFill="1" applyBorder="1"/>
    <xf numFmtId="0" fontId="3" fillId="0" borderId="0" xfId="0" applyFont="1" applyFill="1" applyBorder="1"/>
    <xf numFmtId="43" fontId="15" fillId="0" borderId="1" xfId="0" applyNumberFormat="1" applyFont="1" applyFill="1" applyBorder="1" applyAlignment="1">
      <alignment horizontal="center" vertical="center"/>
    </xf>
    <xf numFmtId="43" fontId="4" fillId="0" borderId="1" xfId="1" applyFont="1" applyFill="1" applyBorder="1"/>
    <xf numFmtId="43" fontId="5" fillId="0" borderId="1" xfId="1" applyFont="1" applyFill="1" applyBorder="1"/>
    <xf numFmtId="43" fontId="10" fillId="0" borderId="1" xfId="1" applyFont="1" applyFill="1" applyBorder="1"/>
    <xf numFmtId="43" fontId="5" fillId="0" borderId="1" xfId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43" fontId="5" fillId="0" borderId="0" xfId="1" applyFont="1" applyFill="1" applyBorder="1" applyAlignment="1">
      <alignment horizontal="center" vertical="center" wrapText="1"/>
    </xf>
    <xf numFmtId="43" fontId="13" fillId="0" borderId="0" xfId="0" applyNumberFormat="1" applyFont="1" applyFill="1" applyBorder="1" applyAlignment="1">
      <alignment horizontal="center" vertical="center"/>
    </xf>
    <xf numFmtId="166" fontId="15" fillId="0" borderId="0" xfId="0" applyNumberFormat="1" applyFont="1" applyFill="1" applyBorder="1" applyAlignment="1">
      <alignment horizontal="center" vertical="center" wrapText="1"/>
    </xf>
    <xf numFmtId="43" fontId="15" fillId="0" borderId="0" xfId="0" applyNumberFormat="1" applyFont="1" applyFill="1" applyBorder="1" applyAlignment="1">
      <alignment horizontal="center" vertical="center"/>
    </xf>
    <xf numFmtId="43" fontId="15" fillId="0" borderId="0" xfId="0" applyNumberFormat="1" applyFont="1" applyBorder="1"/>
    <xf numFmtId="166" fontId="6" fillId="0" borderId="0" xfId="1" applyNumberFormat="1" applyFont="1" applyFill="1" applyBorder="1" applyAlignment="1">
      <alignment horizontal="center" vertical="center" wrapText="1"/>
    </xf>
    <xf numFmtId="168" fontId="11" fillId="0" borderId="0" xfId="1" applyNumberFormat="1" applyFont="1" applyFill="1" applyBorder="1" applyAlignment="1">
      <alignment horizontal="center" vertical="center" wrapText="1"/>
    </xf>
    <xf numFmtId="168" fontId="11" fillId="2" borderId="0" xfId="1" applyNumberFormat="1" applyFont="1" applyFill="1" applyBorder="1" applyAlignment="1">
      <alignment horizontal="center" vertical="center" wrapText="1"/>
    </xf>
    <xf numFmtId="43" fontId="11" fillId="0" borderId="0" xfId="1" applyFont="1" applyFill="1" applyBorder="1" applyAlignment="1" applyProtection="1">
      <alignment horizontal="center" vertical="center"/>
    </xf>
    <xf numFmtId="43" fontId="11" fillId="2" borderId="0" xfId="1" applyFont="1" applyFill="1" applyBorder="1" applyAlignment="1" applyProtection="1">
      <alignment horizontal="center" vertical="center"/>
    </xf>
    <xf numFmtId="43" fontId="11" fillId="0" borderId="1" xfId="1" applyFont="1" applyFill="1" applyBorder="1" applyAlignment="1" applyProtection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43" fontId="11" fillId="0" borderId="0" xfId="1" applyFont="1" applyFill="1" applyBorder="1" applyAlignment="1">
      <alignment horizontal="center" vertical="center" wrapText="1"/>
    </xf>
    <xf numFmtId="4" fontId="31" fillId="0" borderId="0" xfId="2" applyNumberFormat="1" applyFont="1" applyAlignment="1">
      <alignment horizontal="center" vertical="center"/>
    </xf>
    <xf numFmtId="4" fontId="34" fillId="0" borderId="0" xfId="2" applyNumberFormat="1" applyFont="1" applyAlignment="1">
      <alignment horizontal="center" vertical="center"/>
    </xf>
    <xf numFmtId="4" fontId="18" fillId="0" borderId="0" xfId="2" applyNumberFormat="1" applyFont="1" applyAlignment="1">
      <alignment vertical="center"/>
    </xf>
    <xf numFmtId="4" fontId="17" fillId="0" borderId="0" xfId="2" applyNumberFormat="1" applyFont="1" applyAlignment="1"/>
    <xf numFmtId="4" fontId="18" fillId="3" borderId="0" xfId="2" applyNumberFormat="1" applyFont="1" applyFill="1" applyAlignment="1">
      <alignment vertical="center"/>
    </xf>
    <xf numFmtId="4" fontId="20" fillId="0" borderId="0" xfId="2" applyNumberFormat="1" applyFont="1" applyAlignment="1">
      <alignment vertical="center"/>
    </xf>
    <xf numFmtId="4" fontId="22" fillId="4" borderId="3" xfId="2" applyNumberFormat="1" applyFont="1" applyFill="1" applyBorder="1" applyAlignment="1">
      <alignment horizontal="center" vertical="center"/>
    </xf>
    <xf numFmtId="4" fontId="25" fillId="0" borderId="9" xfId="2" applyNumberFormat="1" applyFont="1" applyBorder="1" applyAlignment="1">
      <alignment horizontal="left" vertical="center"/>
    </xf>
    <xf numFmtId="4" fontId="25" fillId="0" borderId="10" xfId="2" applyNumberFormat="1" applyFont="1" applyBorder="1" applyAlignment="1">
      <alignment horizontal="center" vertical="center"/>
    </xf>
    <xf numFmtId="4" fontId="26" fillId="6" borderId="11" xfId="2" applyNumberFormat="1" applyFont="1" applyFill="1" applyBorder="1" applyAlignment="1">
      <alignment horizontal="center" vertical="center"/>
    </xf>
    <xf numFmtId="4" fontId="25" fillId="0" borderId="17" xfId="2" applyNumberFormat="1" applyFont="1" applyBorder="1" applyAlignment="1">
      <alignment horizontal="left" vertical="center"/>
    </xf>
    <xf numFmtId="4" fontId="25" fillId="0" borderId="18" xfId="2" applyNumberFormat="1" applyFont="1" applyBorder="1" applyAlignment="1">
      <alignment horizontal="center" vertical="center"/>
    </xf>
    <xf numFmtId="4" fontId="26" fillId="6" borderId="19" xfId="2" applyNumberFormat="1" applyFont="1" applyFill="1" applyBorder="1" applyAlignment="1">
      <alignment horizontal="center" vertical="center"/>
    </xf>
    <xf numFmtId="4" fontId="20" fillId="0" borderId="0" xfId="2" applyNumberFormat="1" applyFont="1" applyAlignment="1">
      <alignment horizontal="center" vertical="center"/>
    </xf>
    <xf numFmtId="4" fontId="28" fillId="0" borderId="0" xfId="2" applyNumberFormat="1" applyFont="1" applyAlignment="1">
      <alignment horizontal="center" vertical="center"/>
    </xf>
    <xf numFmtId="4" fontId="18" fillId="0" borderId="0" xfId="2" applyNumberFormat="1" applyFont="1" applyAlignment="1">
      <alignment horizontal="center" vertical="center"/>
    </xf>
    <xf numFmtId="4" fontId="25" fillId="0" borderId="29" xfId="2" applyNumberFormat="1" applyFont="1" applyBorder="1" applyAlignment="1">
      <alignment horizontal="left" vertical="center"/>
    </xf>
    <xf numFmtId="4" fontId="25" fillId="0" borderId="30" xfId="2" applyNumberFormat="1" applyFont="1" applyBorder="1" applyAlignment="1">
      <alignment horizontal="center" vertical="center"/>
    </xf>
    <xf numFmtId="4" fontId="26" fillId="6" borderId="31" xfId="2" applyNumberFormat="1" applyFont="1" applyFill="1" applyBorder="1" applyAlignment="1">
      <alignment horizontal="center" vertical="center"/>
    </xf>
    <xf numFmtId="4" fontId="35" fillId="5" borderId="3" xfId="2" applyNumberFormat="1" applyFont="1" applyFill="1" applyBorder="1" applyAlignment="1">
      <alignment horizontal="left" vertical="center"/>
    </xf>
    <xf numFmtId="4" fontId="35" fillId="5" borderId="3" xfId="2" applyNumberFormat="1" applyFont="1" applyFill="1" applyBorder="1" applyAlignment="1">
      <alignment horizontal="center" vertical="center"/>
    </xf>
    <xf numFmtId="4" fontId="20" fillId="5" borderId="3" xfId="2" applyNumberFormat="1" applyFont="1" applyFill="1" applyBorder="1" applyAlignment="1">
      <alignment horizontal="center" vertical="center"/>
    </xf>
    <xf numFmtId="4" fontId="18" fillId="0" borderId="0" xfId="2" applyNumberFormat="1" applyFont="1"/>
    <xf numFmtId="4" fontId="18" fillId="4" borderId="0" xfId="2" applyNumberFormat="1" applyFont="1" applyFill="1" applyAlignment="1">
      <alignment vertical="center"/>
    </xf>
    <xf numFmtId="4" fontId="18" fillId="4" borderId="0" xfId="2" applyNumberFormat="1" applyFont="1" applyFill="1"/>
    <xf numFmtId="4" fontId="23" fillId="7" borderId="9" xfId="2" applyNumberFormat="1" applyFont="1" applyFill="1" applyBorder="1" applyAlignment="1">
      <alignment horizontal="left" vertical="center"/>
    </xf>
    <xf numFmtId="4" fontId="25" fillId="7" borderId="10" xfId="2" applyNumberFormat="1" applyFont="1" applyFill="1" applyBorder="1" applyAlignment="1">
      <alignment horizontal="center" vertical="center"/>
    </xf>
    <xf numFmtId="4" fontId="26" fillId="7" borderId="11" xfId="2" applyNumberFormat="1" applyFont="1" applyFill="1" applyBorder="1" applyAlignment="1">
      <alignment horizontal="center" vertical="center"/>
    </xf>
    <xf numFmtId="4" fontId="36" fillId="4" borderId="0" xfId="2" applyNumberFormat="1" applyFont="1" applyFill="1" applyAlignment="1">
      <alignment horizontal="center" vertical="center"/>
    </xf>
    <xf numFmtId="4" fontId="37" fillId="4" borderId="0" xfId="2" applyNumberFormat="1" applyFont="1" applyFill="1"/>
    <xf numFmtId="4" fontId="37" fillId="4" borderId="0" xfId="2" applyNumberFormat="1" applyFont="1" applyFill="1" applyAlignment="1">
      <alignment vertical="center"/>
    </xf>
    <xf numFmtId="4" fontId="23" fillId="7" borderId="17" xfId="2" applyNumberFormat="1" applyFont="1" applyFill="1" applyBorder="1" applyAlignment="1">
      <alignment horizontal="left" vertical="center"/>
    </xf>
    <xf numFmtId="4" fontId="25" fillId="7" borderId="18" xfId="2" applyNumberFormat="1" applyFont="1" applyFill="1" applyBorder="1" applyAlignment="1">
      <alignment horizontal="center" vertical="center"/>
    </xf>
    <xf numFmtId="4" fontId="26" fillId="7" borderId="19" xfId="2" applyNumberFormat="1" applyFont="1" applyFill="1" applyBorder="1" applyAlignment="1">
      <alignment horizontal="center" vertical="center"/>
    </xf>
    <xf numFmtId="4" fontId="25" fillId="0" borderId="32" xfId="2" applyNumberFormat="1" applyFont="1" applyBorder="1" applyAlignment="1">
      <alignment horizontal="center" vertical="center"/>
    </xf>
    <xf numFmtId="4" fontId="25" fillId="0" borderId="33" xfId="2" applyNumberFormat="1" applyFont="1" applyBorder="1" applyAlignment="1">
      <alignment horizontal="center" vertical="center"/>
    </xf>
    <xf numFmtId="4" fontId="20" fillId="4" borderId="0" xfId="2" applyNumberFormat="1" applyFont="1" applyFill="1" applyAlignment="1">
      <alignment vertical="center"/>
    </xf>
    <xf numFmtId="4" fontId="38" fillId="4" borderId="0" xfId="2" applyNumberFormat="1" applyFont="1" applyFill="1" applyAlignment="1">
      <alignment vertical="center"/>
    </xf>
    <xf numFmtId="0" fontId="40" fillId="0" borderId="0" xfId="0" pivotButton="1" applyFont="1"/>
    <xf numFmtId="0" fontId="40" fillId="0" borderId="0" xfId="0" applyFont="1"/>
    <xf numFmtId="0" fontId="41" fillId="0" borderId="0" xfId="0" pivotButton="1" applyFont="1" applyAlignment="1">
      <alignment vertic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169" fontId="40" fillId="0" borderId="0" xfId="0" applyNumberFormat="1" applyFont="1"/>
    <xf numFmtId="43" fontId="40" fillId="0" borderId="0" xfId="1" applyFont="1"/>
    <xf numFmtId="43" fontId="40" fillId="0" borderId="0" xfId="0" applyNumberFormat="1" applyFont="1"/>
    <xf numFmtId="4" fontId="30" fillId="0" borderId="25" xfId="2" applyNumberFormat="1" applyFont="1" applyBorder="1" applyAlignment="1">
      <alignment horizontal="center" vertical="center" wrapText="1"/>
    </xf>
    <xf numFmtId="4" fontId="24" fillId="0" borderId="26" xfId="2" applyNumberFormat="1" applyFont="1" applyBorder="1"/>
    <xf numFmtId="4" fontId="24" fillId="0" borderId="27" xfId="2" applyNumberFormat="1" applyFont="1" applyBorder="1"/>
    <xf numFmtId="4" fontId="24" fillId="0" borderId="28" xfId="2" applyNumberFormat="1" applyFont="1" applyBorder="1"/>
    <xf numFmtId="4" fontId="32" fillId="0" borderId="25" xfId="2" applyNumberFormat="1" applyFont="1" applyBorder="1" applyAlignment="1">
      <alignment horizontal="center" vertical="center" wrapText="1"/>
    </xf>
    <xf numFmtId="4" fontId="33" fillId="0" borderId="25" xfId="2" applyNumberFormat="1" applyFont="1" applyBorder="1" applyAlignment="1">
      <alignment horizontal="center" vertical="center" wrapText="1"/>
    </xf>
    <xf numFmtId="4" fontId="22" fillId="4" borderId="0" xfId="2" applyNumberFormat="1" applyFont="1" applyFill="1" applyAlignment="1">
      <alignment horizontal="center" vertical="center"/>
    </xf>
    <xf numFmtId="4" fontId="17" fillId="0" borderId="0" xfId="2" applyNumberFormat="1" applyFont="1" applyAlignment="1"/>
    <xf numFmtId="4" fontId="17" fillId="0" borderId="0" xfId="2" applyNumberFormat="1" applyFont="1" applyAlignment="1">
      <alignment vertical="center"/>
    </xf>
    <xf numFmtId="4" fontId="23" fillId="5" borderId="12" xfId="2" applyNumberFormat="1" applyFont="1" applyFill="1" applyBorder="1" applyAlignment="1">
      <alignment horizontal="center" vertical="center"/>
    </xf>
    <xf numFmtId="4" fontId="24" fillId="0" borderId="13" xfId="2" applyNumberFormat="1" applyFont="1" applyBorder="1"/>
    <xf numFmtId="4" fontId="25" fillId="0" borderId="14" xfId="2" applyNumberFormat="1" applyFont="1" applyBorder="1" applyAlignment="1">
      <alignment horizontal="center" vertical="center"/>
    </xf>
    <xf numFmtId="4" fontId="24" fillId="0" borderId="15" xfId="2" applyNumberFormat="1" applyFont="1" applyBorder="1"/>
    <xf numFmtId="4" fontId="24" fillId="0" borderId="16" xfId="2" applyNumberFormat="1" applyFont="1" applyBorder="1"/>
    <xf numFmtId="4" fontId="23" fillId="5" borderId="20" xfId="2" applyNumberFormat="1" applyFont="1" applyFill="1" applyBorder="1" applyAlignment="1">
      <alignment horizontal="center" vertical="center"/>
    </xf>
    <xf numFmtId="4" fontId="24" fillId="0" borderId="21" xfId="2" applyNumberFormat="1" applyFont="1" applyBorder="1"/>
    <xf numFmtId="4" fontId="25" fillId="0" borderId="22" xfId="2" applyNumberFormat="1" applyFont="1" applyBorder="1" applyAlignment="1">
      <alignment horizontal="center" vertical="center"/>
    </xf>
    <xf numFmtId="4" fontId="24" fillId="0" borderId="23" xfId="2" applyNumberFormat="1" applyFont="1" applyBorder="1"/>
    <xf numFmtId="4" fontId="24" fillId="0" borderId="24" xfId="2" applyNumberFormat="1" applyFont="1" applyBorder="1"/>
    <xf numFmtId="4" fontId="27" fillId="4" borderId="25" xfId="2" applyNumberFormat="1" applyFont="1" applyFill="1" applyBorder="1" applyAlignment="1">
      <alignment horizontal="center" vertical="center" wrapText="1"/>
    </xf>
    <xf numFmtId="4" fontId="22" fillId="4" borderId="25" xfId="2" applyNumberFormat="1" applyFont="1" applyFill="1" applyBorder="1" applyAlignment="1">
      <alignment horizontal="center" vertical="center" wrapText="1"/>
    </xf>
    <xf numFmtId="4" fontId="29" fillId="4" borderId="25" xfId="2" applyNumberFormat="1" applyFont="1" applyFill="1" applyBorder="1" applyAlignment="1">
      <alignment horizontal="center" vertical="center" wrapText="1"/>
    </xf>
    <xf numFmtId="4" fontId="23" fillId="5" borderId="4" xfId="2" applyNumberFormat="1" applyFont="1" applyFill="1" applyBorder="1" applyAlignment="1">
      <alignment horizontal="center" vertical="center"/>
    </xf>
    <xf numFmtId="4" fontId="24" fillId="0" borderId="5" xfId="2" applyNumberFormat="1" applyFont="1" applyBorder="1"/>
    <xf numFmtId="4" fontId="23" fillId="0" borderId="6" xfId="2" applyNumberFormat="1" applyFont="1" applyBorder="1" applyAlignment="1">
      <alignment horizontal="center" vertical="center"/>
    </xf>
    <xf numFmtId="4" fontId="42" fillId="0" borderId="7" xfId="2" applyNumberFormat="1" applyFont="1" applyBorder="1"/>
    <xf numFmtId="4" fontId="42" fillId="0" borderId="8" xfId="2" applyNumberFormat="1" applyFont="1" applyBorder="1"/>
    <xf numFmtId="4" fontId="21" fillId="4" borderId="0" xfId="2" applyNumberFormat="1" applyFont="1" applyFill="1" applyAlignment="1">
      <alignment horizontal="left" vertical="center"/>
    </xf>
    <xf numFmtId="4" fontId="39" fillId="0" borderId="0" xfId="3" applyNumberFormat="1" applyAlignment="1">
      <alignment vertical="center"/>
    </xf>
    <xf numFmtId="4" fontId="19" fillId="0" borderId="0" xfId="2" applyNumberFormat="1" applyFont="1" applyAlignment="1">
      <alignment horizontal="center"/>
    </xf>
    <xf numFmtId="4" fontId="18" fillId="0" borderId="0" xfId="2" applyNumberFormat="1" applyFont="1" applyAlignment="1">
      <alignment vertical="center"/>
    </xf>
    <xf numFmtId="4" fontId="18" fillId="0" borderId="0" xfId="2" quotePrefix="1" applyNumberFormat="1" applyFont="1" applyAlignment="1">
      <alignment vertical="center"/>
    </xf>
    <xf numFmtId="164" fontId="2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67" fontId="14" fillId="0" borderId="0" xfId="0" applyNumberFormat="1" applyFont="1" applyFill="1" applyBorder="1" applyAlignment="1">
      <alignment horizontal="left" vertical="center"/>
    </xf>
    <xf numFmtId="167" fontId="14" fillId="0" borderId="2" xfId="0" applyNumberFormat="1" applyFont="1" applyFill="1" applyBorder="1" applyAlignment="1">
      <alignment horizontal="left" vertical="center"/>
    </xf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border diagonalUp="0" diagonalDown="0" outline="0">
        <left/>
        <right/>
        <top/>
        <bottom/>
      </border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numFmt numFmtId="168" formatCode="#,##0;[Red]#,##0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numFmt numFmtId="165" formatCode="[$-409]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scheme val="none"/>
      </font>
      <numFmt numFmtId="167" formatCode="yyyy\-mm\-dd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Narrow"/>
        <scheme val="none"/>
      </font>
      <numFmt numFmtId="167" formatCode="yyyy\-mm\-dd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 Narrow"/>
        <scheme val="none"/>
      </font>
      <numFmt numFmtId="167" formatCode="yyyy\-mm\-dd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color theme="0"/>
        <name val="Arial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sz val="14"/>
      </font>
    </dxf>
    <dxf>
      <font>
        <sz val="14"/>
      </font>
    </dxf>
    <dxf>
      <alignment vertical="center" readingOrder="0"/>
    </dxf>
    <dxf>
      <alignment vertic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612964679942246"/>
          <c:y val="6.0606060606060608E-2"/>
          <c:w val="0.77643625829723828"/>
          <c:h val="0.69580312791479582"/>
        </c:manualLayout>
      </c:layout>
      <c:bar3DChart>
        <c:barDir val="bar"/>
        <c:grouping val="clustered"/>
        <c:varyColors val="1"/>
        <c:ser>
          <c:idx val="0"/>
          <c:order val="0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4DD-45EA-8DBE-6DDD9DAB1BB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200"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'Construction Accounting'!$C$23:$C$24</c:f>
              <c:strCache>
                <c:ptCount val="2"/>
                <c:pt idx="0">
                  <c:v>Actual</c:v>
                </c:pt>
                <c:pt idx="1">
                  <c:v>Budget </c:v>
                </c:pt>
              </c:strCache>
            </c:strRef>
          </c:cat>
          <c:val>
            <c:numRef>
              <c:f>'Construction Accounting'!$D$23:$D$24</c:f>
              <c:numCache>
                <c:formatCode>#,##0.00</c:formatCode>
                <c:ptCount val="2"/>
                <c:pt idx="0">
                  <c:v>64500000</c:v>
                </c:pt>
                <c:pt idx="1">
                  <c:v>34780000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4DD-45EA-8DBE-6DDD9DAB1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375263808"/>
        <c:axId val="-1375263264"/>
        <c:axId val="0"/>
      </c:bar3DChart>
      <c:catAx>
        <c:axId val="-13752638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375263264"/>
        <c:crosses val="autoZero"/>
        <c:auto val="1"/>
        <c:lblAlgn val="ctr"/>
        <c:lblOffset val="100"/>
        <c:noMultiLvlLbl val="1"/>
      </c:catAx>
      <c:valAx>
        <c:axId val="-13752632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37526380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2555157877992523"/>
          <c:y val="5.7971014492753624E-2"/>
          <c:w val="0.79013478930106995"/>
          <c:h val="0.7272113120247321"/>
        </c:manualLayout>
      </c:layout>
      <c:bar3DChart>
        <c:barDir val="bar"/>
        <c:grouping val="clustered"/>
        <c:varyColors val="1"/>
        <c:ser>
          <c:idx val="0"/>
          <c:order val="0"/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26E-4BC6-913B-348B320126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1">
                    <a:solidFill>
                      <a:srgbClr val="00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'Construction Accounting'!$C$35:$C$36</c:f>
              <c:strCache>
                <c:ptCount val="2"/>
                <c:pt idx="0">
                  <c:v>Actual</c:v>
                </c:pt>
                <c:pt idx="1">
                  <c:v>Budget </c:v>
                </c:pt>
              </c:strCache>
            </c:strRef>
          </c:cat>
          <c:val>
            <c:numRef>
              <c:f>'Construction Accounting'!$D$35:$D$36</c:f>
              <c:numCache>
                <c:formatCode>#,##0.00</c:formatCode>
                <c:ptCount val="2"/>
                <c:pt idx="0">
                  <c:v>5008297</c:v>
                </c:pt>
                <c:pt idx="1">
                  <c:v>139500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26E-4BC6-913B-348B32012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375253472"/>
        <c:axId val="-1375262176"/>
        <c:axId val="0"/>
      </c:bar3DChart>
      <c:catAx>
        <c:axId val="-13752534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375262176"/>
        <c:crosses val="autoZero"/>
        <c:auto val="1"/>
        <c:lblAlgn val="ctr"/>
        <c:lblOffset val="100"/>
        <c:noMultiLvlLbl val="1"/>
      </c:catAx>
      <c:valAx>
        <c:axId val="-13752621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-137525347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21</xdr:row>
      <xdr:rowOff>66675</xdr:rowOff>
    </xdr:from>
    <xdr:ext cx="5419725" cy="23050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104775</xdr:colOff>
      <xdr:row>31</xdr:row>
      <xdr:rowOff>28575</xdr:rowOff>
    </xdr:from>
    <xdr:ext cx="5343525" cy="24098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1</xdr:col>
      <xdr:colOff>180975</xdr:colOff>
      <xdr:row>0</xdr:row>
      <xdr:rowOff>47625</xdr:rowOff>
    </xdr:from>
    <xdr:to>
      <xdr:col>2</xdr:col>
      <xdr:colOff>542924</xdr:colOff>
      <xdr:row>5</xdr:row>
      <xdr:rowOff>247649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47625"/>
          <a:ext cx="1200149" cy="1200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637457</xdr:colOff>
      <xdr:row>0</xdr:row>
      <xdr:rowOff>105971</xdr:rowOff>
    </xdr:from>
    <xdr:ext cx="2482539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F5A97E6-E561-40D1-9359-95438C5BBDF3}"/>
            </a:ext>
          </a:extLst>
        </xdr:cNvPr>
        <xdr:cNvSpPr/>
      </xdr:nvSpPr>
      <xdr:spPr>
        <a:xfrm>
          <a:off x="8198336" y="105971"/>
          <a:ext cx="2482539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SAMPLE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Vega\Construction_Accounting_Template\Construction-Accounting-Template+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uction Accounting"/>
      <sheetName val="Project Details"/>
    </sheetNames>
    <sheetDataSet>
      <sheetData sheetId="0" refreshError="1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08.467285069448" createdVersion="5" refreshedVersion="5" minRefreshableVersion="3" recordCount="256" xr:uid="{00000000-000A-0000-FFFF-FFFF01000000}">
  <cacheSource type="worksheet">
    <worksheetSource name="Table1[[Description]:[Total]]"/>
  </cacheSource>
  <cacheFields count="6">
    <cacheField name="Description" numFmtId="0">
      <sharedItems containsBlank="1" count="96">
        <s v="Site Visit"/>
        <s v="Mr.Mahiti"/>
        <s v="Mahagalkadawala Hw"/>
        <s v="Ajantha(Mason)/Advance"/>
        <s v="Transport"/>
        <s v="Removing Glass Roof"/>
        <s v="Foods -Mr.Nazir"/>
        <s v="Mr.Nazir (Advance Payment)"/>
        <s v="Chathuranga Hw"/>
        <s v="Multi Hw"/>
        <s v="Mr.Nazir-Brick Wall Demolish"/>
        <s v="Mr.Nazir"/>
        <s v="Mr.Nazir- Foods"/>
        <s v="Nilu(Mason)/Salary"/>
        <s v="Cement"/>
        <s v="Nilu(Mason)/Advance"/>
        <s v="Site  Visit"/>
        <s v="Priyantha(u/sk)/Advance"/>
        <s v="Cement Bag 06 Nr"/>
        <s v="Sand Cube 01"/>
        <s v="3/4&quot; Metal Cube 01"/>
        <s v="Linko Construction"/>
        <s v="Chuti Mahaththaya"/>
        <s v="Cainz Hw"/>
        <s v="Dewmith Construction"/>
        <s v="Central Hw"/>
        <s v="Excavator"/>
        <s v="M City Hw"/>
        <s v="Chamidu Timbers"/>
        <s v="St Anthonys' Hardware"/>
        <s v="Jagath(Mason)/Salary (Slab Repairing)"/>
        <s v="Modern Hardware"/>
        <s v="Jagath(Mason)/Salary "/>
        <s v="Lion Plywood"/>
        <s v="Finex Engineering"/>
        <s v="Jenerator"/>
        <s v="Jagath(Mason)/Salary"/>
        <s v="K.S.De Silva and Son"/>
        <s v="Neel(Tree Cutter)"/>
        <s v="Bricks = 3000Nr"/>
        <s v="Welagedara Hw"/>
        <s v="Sand Cube 02"/>
        <s v="Vega (Tools Rent)"/>
        <s v="SF Putty"/>
        <s v="Ravi(Painter)/Advance"/>
        <s v="A.C.K Colour House"/>
        <s v="Anthony's Hw"/>
        <s v="6&quot;x9&quot; Struips"/>
        <s v="Binding 2Kg"/>
        <s v="Electrical Items"/>
        <s v="S.N.S.Construction"/>
        <s v="Amila(Electrical)/Advance"/>
        <s v="Polythene"/>
        <s v="Pearl waterproofing solution"/>
        <s v="Hardware Item"/>
        <s v="Star Hw"/>
        <s v="Manjula(Welder)/Advance"/>
        <s v="Sika/Waterproofing"/>
        <s v="M.M Hardware"/>
        <s v="S.M.Metals"/>
        <s v="Jayalanka Hw"/>
        <s v="Ruwan(Tiler)/Advance"/>
        <s v="Lanka Tiles"/>
        <s v="A.K.Hardware"/>
        <s v="Card Board"/>
        <s v="Store"/>
        <s v="Track Repairing"/>
        <m u="1"/>
        <s v="Ajantha (Mason)/Advance" u="1"/>
        <s v="Site Visit and Transport" u="1"/>
        <s v="Cement Bag 02 Nr" u="1"/>
        <s v="Ranathunga Transport" u="1"/>
        <s v="Cement Blocks Transport" u="1"/>
        <s v="Cement bag 10Nr" u="1"/>
        <s v="Ajantha(Mason)/Advance(Slab Repairing)" u="1"/>
        <s v="Cement Bag 01" u="1"/>
        <s v="Mr.Nazir (Transport)" u="1"/>
        <s v="Ajantha(Mason)/Salary" u="1"/>
        <s v="Site Visit and GI pipe Transport" u="1"/>
        <s v="Cement Bag 08 Nr" u="1"/>
        <s v="Scaffolding Transport" u="1"/>
        <s v="Cement Transport" u="1"/>
        <s v="Mr.Nazir-Transport Millawa to Mathale" u="1"/>
        <s v="Tile Transport" u="1"/>
        <s v="Jacks and reinforcement transport" u="1"/>
        <s v="Ajantha(Mason)/Salary(Slab Repairing)" u="1"/>
        <s v="Raja(Transport)" u="1"/>
        <s v="Tile Morta Transport" u="1"/>
        <s v="Site Visit and Cement Bag Transport" u="1"/>
        <s v="Site Visit and 12&quot;X12&quot; Column Transport" u="1"/>
        <s v="Cement Bag 05" u="1"/>
        <s v="Site Visit and Reinforcemnt Transport" u="1"/>
        <s v="Bricks Transport" u="1"/>
        <s v="Site Visit and  Transport" u="1"/>
        <s v="Site Visit and Cement Transport" u="1"/>
        <s v="Cement Bag 4 Nr" u="1"/>
      </sharedItems>
    </cacheField>
    <cacheField name="Category" numFmtId="0">
      <sharedItems containsBlank="1" count="7">
        <s v="Transport"/>
        <s v="Material"/>
        <s v="Labour"/>
        <s v="Sub Contractor"/>
        <s v="Machinery"/>
        <s v="Other"/>
        <m u="1"/>
      </sharedItems>
    </cacheField>
    <cacheField name="Memo" numFmtId="0">
      <sharedItems count="251">
        <s v="06/1103"/>
        <s v="06/1104"/>
        <s v="06/1118"/>
        <s v="06/1120"/>
        <s v="06/1126"/>
        <s v="06/1129"/>
        <s v="06/1130"/>
        <s v="06/1141"/>
        <s v="07/1146"/>
        <s v="07/1147"/>
        <s v="07/1148"/>
        <s v="07/1149"/>
        <s v="07/1151"/>
        <s v="07/1152"/>
        <s v="07/1154"/>
        <s v="07/1155"/>
        <s v="07/1156"/>
        <s v="07/1157"/>
        <s v="07/1159"/>
        <s v="07/1172"/>
        <s v="07/1183"/>
        <s v="07/1184"/>
        <s v="07/1191"/>
        <s v="07/1193"/>
        <s v="07/1204"/>
        <s v="07/1211"/>
        <s v="07/1215"/>
        <s v="07/1216"/>
        <s v="07/1217"/>
        <s v="07/1218"/>
        <s v="07/1227"/>
        <s v="07/1228"/>
        <s v="07/1229"/>
        <s v="07/1237"/>
        <s v="07/1241"/>
        <s v="07/1242"/>
        <s v="07/1247"/>
        <s v="07/1248"/>
        <s v="07/1249"/>
        <s v="07/1252"/>
        <s v="07/1254"/>
        <s v="08/1285"/>
        <s v="08/1297"/>
        <s v="08/1298"/>
        <s v="08/1306"/>
        <s v="08/1307"/>
        <s v="08/1308"/>
        <s v="08/1329"/>
        <s v="08/1337"/>
        <s v="08/1355"/>
        <s v="08/1356"/>
        <s v="09/1364"/>
        <s v="09/1375"/>
        <s v="09/1381"/>
        <s v="09/1386"/>
        <s v="09/1387"/>
        <s v="09/1389"/>
        <s v="09/1390"/>
        <s v="09/1405"/>
        <s v="09/1408"/>
        <s v="09/1431"/>
        <s v="09/1432"/>
        <s v="09/1433"/>
        <s v="09/1434"/>
        <s v="09/1435"/>
        <s v="09/1436"/>
        <s v="09/1437"/>
        <s v="09/1445"/>
        <s v="09/1450"/>
        <s v="09/1457"/>
        <s v="09/1452"/>
        <s v="09/1460"/>
        <s v="09/1503"/>
        <s v="09/1527"/>
        <s v="09/1533"/>
        <s v="09/1539"/>
        <s v="09/1540"/>
        <s v="10/1546"/>
        <s v="10/1550"/>
        <s v="10/1561"/>
        <s v="10/1562"/>
        <s v="10/1563"/>
        <s v="10/1566"/>
        <s v="10/1569"/>
        <s v="10/1584"/>
        <s v="10/1586"/>
        <s v="10/1587"/>
        <s v="10/1588"/>
        <s v="10/1589"/>
        <s v="10/1590"/>
        <s v="10/1594"/>
        <s v="10/1595"/>
        <s v="10/1596"/>
        <s v="10/1601"/>
        <s v="10/1605"/>
        <s v="10/1606"/>
        <s v="10/1607"/>
        <s v="10/1610"/>
        <s v="10/1611"/>
        <s v="10/1612"/>
        <s v="10/1616"/>
        <s v="10/1620"/>
        <s v="10/1624"/>
        <s v="11/1726"/>
        <s v="11/1727"/>
        <s v="11/1733"/>
        <s v="11/1734"/>
        <s v="11/1735"/>
        <s v="11/1736"/>
        <s v="11/1737"/>
        <s v="11/1740"/>
        <s v="11/1743"/>
        <s v="11/1744"/>
        <s v="12/1752"/>
        <s v="12/1754"/>
        <s v="12/1771"/>
        <s v="12/1783"/>
        <s v="12/1796"/>
        <s v="12/1802"/>
        <s v="12/1806"/>
        <s v="12/1810"/>
        <s v="12/1811"/>
        <s v="12/1832"/>
        <s v="12/1838"/>
        <s v="12/1843"/>
        <s v="12/1848"/>
        <s v="12/1859"/>
        <s v="12/1871"/>
        <s v="12/1881"/>
        <s v="12/1883"/>
        <s v="12/1884"/>
        <s v="12/1885"/>
        <s v="12/1886"/>
        <s v="12/1887"/>
        <s v="12/1891"/>
        <s v="12/1894"/>
        <s v="12/1895"/>
        <s v="12/1896"/>
        <s v="12/1900"/>
        <s v="01/1912"/>
        <s v="01/1913"/>
        <s v="01/1920"/>
        <s v="01/1923"/>
        <s v="01/1925"/>
        <s v="01/1926"/>
        <s v="01/1927"/>
        <s v="01/1928"/>
        <s v="01/1929"/>
        <s v="01/1930"/>
        <s v="01/1931"/>
        <s v="01/1933"/>
        <s v="01/1934"/>
        <s v="01/1935"/>
        <s v="01/1936"/>
        <s v="01/1939"/>
        <s v="01/1940"/>
        <s v="01/1944"/>
        <s v="01/1945"/>
        <s v="01/1946"/>
        <s v="01/1947"/>
        <s v="01/1948"/>
        <s v="01/1951"/>
        <s v="01/1952"/>
        <s v="01/1953"/>
        <s v="01/1954"/>
        <s v="01/1955"/>
        <s v="01/1956"/>
        <s v="01/1957"/>
        <s v="01/1958"/>
        <s v="01/1959"/>
        <s v="01/1961"/>
        <s v="01/1962"/>
        <s v="01/1964"/>
        <s v="01/1965"/>
        <s v="01/1966"/>
        <s v="01/1968"/>
        <s v="01/1971"/>
        <s v="01/1972"/>
        <s v="01/1974"/>
        <s v="01/1975"/>
        <s v="01/1977"/>
        <s v="01/1983"/>
        <s v="01/1984"/>
        <s v="02/1985"/>
        <s v="02/1988"/>
        <s v="02/1989"/>
        <s v="02/1991"/>
        <s v="02/1992"/>
        <s v="02/1994"/>
        <s v="02/1995"/>
        <s v="02/1996"/>
        <s v="02/1998"/>
        <s v="02/2000"/>
        <s v="02/2004"/>
        <s v="02/2005"/>
        <s v="02/2007"/>
        <s v="02/2009"/>
        <s v="02/2010"/>
        <s v="02/2012"/>
        <s v="02/2015"/>
        <s v="02/2016"/>
        <s v="03/2031"/>
        <s v="03/2036"/>
        <s v="03/2041"/>
        <s v="03/2042"/>
        <s v="03/2043"/>
        <s v="03/2053"/>
        <s v="03/2054"/>
        <s v="03/2060"/>
        <s v="03/2079"/>
        <s v="03/2088"/>
        <s v="03/2094"/>
        <s v="03/2095"/>
        <s v="03/2096"/>
        <s v="03/2120"/>
        <s v="03/2134"/>
        <s v="03/2135"/>
        <s v="03/2136"/>
        <s v="03/2139"/>
        <s v="03/2141"/>
        <s v="03/2143"/>
        <s v="03/2147"/>
        <s v="03/2148"/>
        <s v="03/2150"/>
        <s v="03/2155"/>
        <s v="03/2164"/>
        <s v="04/2166"/>
        <s v="04/2167"/>
        <s v="04/2169"/>
        <s v="04/2170"/>
        <s v="04/2172"/>
        <s v="04/2174"/>
        <s v="04/2179"/>
        <s v="04/2186"/>
        <s v="04/2189"/>
        <s v="04/2192"/>
        <s v="04/2193"/>
        <s v="04/2195"/>
        <s v="04/2197"/>
        <s v="04/2198"/>
        <s v="04/2199"/>
        <s v="04/2203"/>
        <s v="04/2207"/>
        <s v="04/2208"/>
        <s v="04/2209"/>
        <s v="04/2210"/>
        <s v="04/2214"/>
        <s v="04/2217"/>
        <s v="04/2221"/>
        <s v="04/2222"/>
        <s v="02/2267"/>
      </sharedItems>
    </cacheField>
    <cacheField name="Stage" numFmtId="0">
      <sharedItems containsBlank="1"/>
    </cacheField>
    <cacheField name="BOQ Item" numFmtId="0">
      <sharedItems containsBlank="1"/>
    </cacheField>
    <cacheField name="Total" numFmtId="43">
      <sharedItems containsSemiMixedTypes="0" containsString="0" containsNumber="1" containsInteger="1" minValue="300" maxValue="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6">
  <r>
    <x v="0"/>
    <x v="0"/>
    <x v="0"/>
    <s v="Stage-01"/>
    <s v="Tile Works"/>
    <n v="5000"/>
  </r>
  <r>
    <x v="1"/>
    <x v="0"/>
    <x v="1"/>
    <s v="Stage-02"/>
    <s v="Plastering Works"/>
    <n v="5000"/>
  </r>
  <r>
    <x v="2"/>
    <x v="1"/>
    <x v="2"/>
    <s v="Stage-03"/>
    <s v="Painting Works"/>
    <n v="8400"/>
  </r>
  <r>
    <x v="3"/>
    <x v="2"/>
    <x v="3"/>
    <s v="Stage-04"/>
    <s v="Aluminium Works"/>
    <n v="5000"/>
  </r>
  <r>
    <x v="0"/>
    <x v="0"/>
    <x v="4"/>
    <s v="Stage-05"/>
    <s v="Timber Works"/>
    <n v="2500"/>
  </r>
  <r>
    <x v="4"/>
    <x v="0"/>
    <x v="5"/>
    <s v="Stage-06"/>
    <s v="Steel Works"/>
    <n v="5000"/>
  </r>
  <r>
    <x v="4"/>
    <x v="0"/>
    <x v="6"/>
    <m/>
    <s v="Waterproofing"/>
    <n v="5000"/>
  </r>
  <r>
    <x v="3"/>
    <x v="2"/>
    <x v="7"/>
    <m/>
    <s v="Roofing"/>
    <n v="16300"/>
  </r>
  <r>
    <x v="5"/>
    <x v="2"/>
    <x v="8"/>
    <m/>
    <s v="Electrical Works"/>
    <n v="8000"/>
  </r>
  <r>
    <x v="4"/>
    <x v="0"/>
    <x v="8"/>
    <m/>
    <s v="Masonry Works"/>
    <n v="5100"/>
  </r>
  <r>
    <x v="6"/>
    <x v="3"/>
    <x v="9"/>
    <m/>
    <s v="Plumbing Works"/>
    <n v="2520"/>
  </r>
  <r>
    <x v="7"/>
    <x v="3"/>
    <x v="10"/>
    <m/>
    <s v="Rain Gutters"/>
    <n v="1000"/>
  </r>
  <r>
    <x v="4"/>
    <x v="0"/>
    <x v="11"/>
    <m/>
    <m/>
    <n v="5000"/>
  </r>
  <r>
    <x v="8"/>
    <x v="1"/>
    <x v="12"/>
    <m/>
    <m/>
    <n v="3160"/>
  </r>
  <r>
    <x v="9"/>
    <x v="1"/>
    <x v="13"/>
    <m/>
    <m/>
    <n v="700"/>
  </r>
  <r>
    <x v="10"/>
    <x v="3"/>
    <x v="14"/>
    <m/>
    <m/>
    <n v="5000"/>
  </r>
  <r>
    <x v="11"/>
    <x v="3"/>
    <x v="15"/>
    <m/>
    <m/>
    <n v="44000"/>
  </r>
  <r>
    <x v="4"/>
    <x v="0"/>
    <x v="16"/>
    <m/>
    <m/>
    <n v="6000"/>
  </r>
  <r>
    <x v="12"/>
    <x v="3"/>
    <x v="17"/>
    <m/>
    <m/>
    <n v="1560"/>
  </r>
  <r>
    <x v="0"/>
    <x v="0"/>
    <x v="18"/>
    <m/>
    <m/>
    <n v="2700"/>
  </r>
  <r>
    <x v="13"/>
    <x v="2"/>
    <x v="19"/>
    <m/>
    <m/>
    <n v="17500"/>
  </r>
  <r>
    <x v="14"/>
    <x v="1"/>
    <x v="20"/>
    <m/>
    <m/>
    <n v="4400"/>
  </r>
  <r>
    <x v="4"/>
    <x v="0"/>
    <x v="21"/>
    <m/>
    <m/>
    <n v="2500"/>
  </r>
  <r>
    <x v="15"/>
    <x v="2"/>
    <x v="22"/>
    <m/>
    <m/>
    <n v="1000"/>
  </r>
  <r>
    <x v="13"/>
    <x v="2"/>
    <x v="23"/>
    <m/>
    <m/>
    <n v="16400"/>
  </r>
  <r>
    <x v="16"/>
    <x v="0"/>
    <x v="24"/>
    <m/>
    <m/>
    <n v="2500"/>
  </r>
  <r>
    <x v="2"/>
    <x v="1"/>
    <x v="25"/>
    <m/>
    <m/>
    <n v="56580"/>
  </r>
  <r>
    <x v="0"/>
    <x v="0"/>
    <x v="26"/>
    <m/>
    <m/>
    <n v="6750"/>
  </r>
  <r>
    <x v="17"/>
    <x v="2"/>
    <x v="27"/>
    <m/>
    <m/>
    <n v="1000"/>
  </r>
  <r>
    <x v="0"/>
    <x v="0"/>
    <x v="28"/>
    <m/>
    <m/>
    <n v="3000"/>
  </r>
  <r>
    <x v="13"/>
    <x v="2"/>
    <x v="29"/>
    <m/>
    <m/>
    <n v="25100"/>
  </r>
  <r>
    <x v="18"/>
    <x v="1"/>
    <x v="30"/>
    <m/>
    <m/>
    <n v="12600"/>
  </r>
  <r>
    <x v="19"/>
    <x v="1"/>
    <x v="31"/>
    <m/>
    <m/>
    <n v="15000"/>
  </r>
  <r>
    <x v="20"/>
    <x v="1"/>
    <x v="32"/>
    <m/>
    <m/>
    <n v="9500"/>
  </r>
  <r>
    <x v="3"/>
    <x v="2"/>
    <x v="33"/>
    <m/>
    <m/>
    <n v="2000"/>
  </r>
  <r>
    <x v="3"/>
    <x v="2"/>
    <x v="34"/>
    <m/>
    <m/>
    <n v="41600"/>
  </r>
  <r>
    <x v="21"/>
    <x v="4"/>
    <x v="35"/>
    <m/>
    <m/>
    <n v="1000"/>
  </r>
  <r>
    <x v="0"/>
    <x v="0"/>
    <x v="36"/>
    <m/>
    <m/>
    <n v="2500"/>
  </r>
  <r>
    <x v="0"/>
    <x v="0"/>
    <x v="37"/>
    <m/>
    <m/>
    <n v="2400"/>
  </r>
  <r>
    <x v="0"/>
    <x v="0"/>
    <x v="38"/>
    <m/>
    <m/>
    <n v="2400"/>
  </r>
  <r>
    <x v="3"/>
    <x v="2"/>
    <x v="39"/>
    <m/>
    <m/>
    <n v="23300"/>
  </r>
  <r>
    <x v="22"/>
    <x v="3"/>
    <x v="40"/>
    <m/>
    <m/>
    <n v="17500"/>
  </r>
  <r>
    <x v="3"/>
    <x v="2"/>
    <x v="41"/>
    <m/>
    <m/>
    <n v="14000"/>
  </r>
  <r>
    <x v="2"/>
    <x v="1"/>
    <x v="42"/>
    <m/>
    <m/>
    <n v="28305"/>
  </r>
  <r>
    <x v="3"/>
    <x v="2"/>
    <x v="43"/>
    <m/>
    <m/>
    <n v="1000"/>
  </r>
  <r>
    <x v="3"/>
    <x v="2"/>
    <x v="44"/>
    <m/>
    <m/>
    <n v="28000"/>
  </r>
  <r>
    <x v="2"/>
    <x v="1"/>
    <x v="45"/>
    <m/>
    <m/>
    <n v="10000"/>
  </r>
  <r>
    <x v="23"/>
    <x v="1"/>
    <x v="46"/>
    <m/>
    <m/>
    <n v="2150"/>
  </r>
  <r>
    <x v="8"/>
    <x v="1"/>
    <x v="47"/>
    <m/>
    <m/>
    <n v="1350"/>
  </r>
  <r>
    <x v="3"/>
    <x v="2"/>
    <x v="48"/>
    <m/>
    <m/>
    <n v="17400"/>
  </r>
  <r>
    <x v="3"/>
    <x v="2"/>
    <x v="49"/>
    <m/>
    <m/>
    <n v="5000"/>
  </r>
  <r>
    <x v="24"/>
    <x v="3"/>
    <x v="50"/>
    <m/>
    <m/>
    <n v="34500"/>
  </r>
  <r>
    <x v="3"/>
    <x v="2"/>
    <x v="51"/>
    <m/>
    <m/>
    <n v="11600"/>
  </r>
  <r>
    <x v="25"/>
    <x v="1"/>
    <x v="52"/>
    <m/>
    <m/>
    <n v="10100"/>
  </r>
  <r>
    <x v="4"/>
    <x v="0"/>
    <x v="52"/>
    <m/>
    <m/>
    <n v="750"/>
  </r>
  <r>
    <x v="2"/>
    <x v="1"/>
    <x v="53"/>
    <m/>
    <m/>
    <n v="22015"/>
  </r>
  <r>
    <x v="25"/>
    <x v="1"/>
    <x v="54"/>
    <m/>
    <m/>
    <n v="33480"/>
  </r>
  <r>
    <x v="26"/>
    <x v="4"/>
    <x v="55"/>
    <m/>
    <m/>
    <n v="13500"/>
  </r>
  <r>
    <x v="19"/>
    <x v="1"/>
    <x v="56"/>
    <m/>
    <m/>
    <n v="15000"/>
  </r>
  <r>
    <x v="20"/>
    <x v="1"/>
    <x v="57"/>
    <m/>
    <m/>
    <n v="9500"/>
  </r>
  <r>
    <x v="27"/>
    <x v="1"/>
    <x v="58"/>
    <m/>
    <m/>
    <n v="1000"/>
  </r>
  <r>
    <x v="28"/>
    <x v="1"/>
    <x v="59"/>
    <m/>
    <m/>
    <n v="6880"/>
  </r>
  <r>
    <x v="0"/>
    <x v="0"/>
    <x v="60"/>
    <m/>
    <m/>
    <n v="2700"/>
  </r>
  <r>
    <x v="29"/>
    <x v="1"/>
    <x v="61"/>
    <m/>
    <m/>
    <n v="500000"/>
  </r>
  <r>
    <x v="4"/>
    <x v="0"/>
    <x v="62"/>
    <m/>
    <m/>
    <n v="2250"/>
  </r>
  <r>
    <x v="4"/>
    <x v="0"/>
    <x v="63"/>
    <m/>
    <m/>
    <n v="2250"/>
  </r>
  <r>
    <x v="4"/>
    <x v="0"/>
    <x v="64"/>
    <m/>
    <m/>
    <n v="3150"/>
  </r>
  <r>
    <x v="4"/>
    <x v="0"/>
    <x v="65"/>
    <m/>
    <m/>
    <n v="2400"/>
  </r>
  <r>
    <x v="4"/>
    <x v="0"/>
    <x v="66"/>
    <m/>
    <m/>
    <n v="2400"/>
  </r>
  <r>
    <x v="3"/>
    <x v="2"/>
    <x v="67"/>
    <m/>
    <m/>
    <n v="29800"/>
  </r>
  <r>
    <x v="3"/>
    <x v="2"/>
    <x v="68"/>
    <m/>
    <m/>
    <n v="5800"/>
  </r>
  <r>
    <x v="30"/>
    <x v="2"/>
    <x v="69"/>
    <m/>
    <m/>
    <n v="5800"/>
  </r>
  <r>
    <x v="3"/>
    <x v="2"/>
    <x v="70"/>
    <m/>
    <m/>
    <n v="6600"/>
  </r>
  <r>
    <x v="3"/>
    <x v="2"/>
    <x v="69"/>
    <m/>
    <m/>
    <n v="5000"/>
  </r>
  <r>
    <x v="2"/>
    <x v="1"/>
    <x v="71"/>
    <m/>
    <m/>
    <n v="18680"/>
  </r>
  <r>
    <x v="3"/>
    <x v="2"/>
    <x v="72"/>
    <m/>
    <m/>
    <n v="14500"/>
  </r>
  <r>
    <x v="3"/>
    <x v="2"/>
    <x v="73"/>
    <m/>
    <m/>
    <n v="17400"/>
  </r>
  <r>
    <x v="31"/>
    <x v="1"/>
    <x v="74"/>
    <m/>
    <m/>
    <n v="3880"/>
  </r>
  <r>
    <x v="21"/>
    <x v="4"/>
    <x v="75"/>
    <m/>
    <m/>
    <n v="8056"/>
  </r>
  <r>
    <x v="21"/>
    <x v="4"/>
    <x v="76"/>
    <m/>
    <m/>
    <n v="3600"/>
  </r>
  <r>
    <x v="3"/>
    <x v="2"/>
    <x v="77"/>
    <m/>
    <m/>
    <n v="1000"/>
  </r>
  <r>
    <x v="14"/>
    <x v="1"/>
    <x v="78"/>
    <m/>
    <m/>
    <n v="6380"/>
  </r>
  <r>
    <x v="3"/>
    <x v="2"/>
    <x v="79"/>
    <m/>
    <m/>
    <n v="5800"/>
  </r>
  <r>
    <x v="3"/>
    <x v="2"/>
    <x v="80"/>
    <m/>
    <m/>
    <n v="22200"/>
  </r>
  <r>
    <x v="13"/>
    <x v="2"/>
    <x v="81"/>
    <m/>
    <m/>
    <n v="5800"/>
  </r>
  <r>
    <x v="13"/>
    <x v="2"/>
    <x v="82"/>
    <m/>
    <m/>
    <n v="15100"/>
  </r>
  <r>
    <x v="4"/>
    <x v="0"/>
    <x v="83"/>
    <m/>
    <m/>
    <n v="2250"/>
  </r>
  <r>
    <x v="13"/>
    <x v="2"/>
    <x v="84"/>
    <m/>
    <m/>
    <n v="5800"/>
  </r>
  <r>
    <x v="32"/>
    <x v="2"/>
    <x v="85"/>
    <m/>
    <m/>
    <n v="11600"/>
  </r>
  <r>
    <x v="32"/>
    <x v="2"/>
    <x v="86"/>
    <m/>
    <m/>
    <n v="17400"/>
  </r>
  <r>
    <x v="3"/>
    <x v="2"/>
    <x v="87"/>
    <m/>
    <m/>
    <n v="3500"/>
  </r>
  <r>
    <x v="3"/>
    <x v="2"/>
    <x v="88"/>
    <m/>
    <m/>
    <n v="29000"/>
  </r>
  <r>
    <x v="4"/>
    <x v="0"/>
    <x v="89"/>
    <m/>
    <m/>
    <n v="2500"/>
  </r>
  <r>
    <x v="33"/>
    <x v="1"/>
    <x v="90"/>
    <m/>
    <m/>
    <n v="38400"/>
  </r>
  <r>
    <x v="2"/>
    <x v="1"/>
    <x v="91"/>
    <m/>
    <m/>
    <n v="142025"/>
  </r>
  <r>
    <x v="4"/>
    <x v="0"/>
    <x v="92"/>
    <m/>
    <m/>
    <n v="2000"/>
  </r>
  <r>
    <x v="34"/>
    <x v="1"/>
    <x v="93"/>
    <m/>
    <m/>
    <n v="5750"/>
  </r>
  <r>
    <x v="20"/>
    <x v="1"/>
    <x v="94"/>
    <m/>
    <m/>
    <n v="9500"/>
  </r>
  <r>
    <x v="19"/>
    <x v="1"/>
    <x v="95"/>
    <m/>
    <m/>
    <n v="15000"/>
  </r>
  <r>
    <x v="35"/>
    <x v="5"/>
    <x v="96"/>
    <m/>
    <m/>
    <n v="10800"/>
  </r>
  <r>
    <x v="13"/>
    <x v="5"/>
    <x v="97"/>
    <m/>
    <m/>
    <n v="20900"/>
  </r>
  <r>
    <x v="3"/>
    <x v="5"/>
    <x v="98"/>
    <m/>
    <m/>
    <n v="22100"/>
  </r>
  <r>
    <x v="36"/>
    <x v="5"/>
    <x v="99"/>
    <m/>
    <m/>
    <n v="23200"/>
  </r>
  <r>
    <x v="2"/>
    <x v="5"/>
    <x v="100"/>
    <m/>
    <m/>
    <n v="32720"/>
  </r>
  <r>
    <x v="8"/>
    <x v="5"/>
    <x v="101"/>
    <m/>
    <m/>
    <n v="1900"/>
  </r>
  <r>
    <x v="37"/>
    <x v="5"/>
    <x v="102"/>
    <m/>
    <m/>
    <n v="2430"/>
  </r>
  <r>
    <x v="38"/>
    <x v="5"/>
    <x v="103"/>
    <m/>
    <m/>
    <n v="7000"/>
  </r>
  <r>
    <x v="3"/>
    <x v="5"/>
    <x v="104"/>
    <m/>
    <m/>
    <n v="2000"/>
  </r>
  <r>
    <x v="3"/>
    <x v="5"/>
    <x v="105"/>
    <m/>
    <m/>
    <n v="16600"/>
  </r>
  <r>
    <x v="3"/>
    <x v="5"/>
    <x v="106"/>
    <m/>
    <m/>
    <n v="2000"/>
  </r>
  <r>
    <x v="39"/>
    <x v="5"/>
    <x v="107"/>
    <m/>
    <m/>
    <n v="99000"/>
  </r>
  <r>
    <x v="4"/>
    <x v="0"/>
    <x v="108"/>
    <m/>
    <m/>
    <n v="15000"/>
  </r>
  <r>
    <x v="22"/>
    <x v="5"/>
    <x v="109"/>
    <m/>
    <m/>
    <n v="6000"/>
  </r>
  <r>
    <x v="22"/>
    <x v="5"/>
    <x v="110"/>
    <m/>
    <m/>
    <n v="3000"/>
  </r>
  <r>
    <x v="14"/>
    <x v="5"/>
    <x v="111"/>
    <m/>
    <m/>
    <n v="20000"/>
  </r>
  <r>
    <x v="4"/>
    <x v="0"/>
    <x v="112"/>
    <m/>
    <m/>
    <n v="3000"/>
  </r>
  <r>
    <x v="3"/>
    <x v="5"/>
    <x v="113"/>
    <m/>
    <m/>
    <n v="21200"/>
  </r>
  <r>
    <x v="8"/>
    <x v="5"/>
    <x v="114"/>
    <m/>
    <m/>
    <n v="1700"/>
  </r>
  <r>
    <x v="3"/>
    <x v="5"/>
    <x v="115"/>
    <m/>
    <m/>
    <n v="5000"/>
  </r>
  <r>
    <x v="3"/>
    <x v="5"/>
    <x v="116"/>
    <m/>
    <m/>
    <n v="1000"/>
  </r>
  <r>
    <x v="14"/>
    <x v="5"/>
    <x v="117"/>
    <m/>
    <m/>
    <n v="2300"/>
  </r>
  <r>
    <x v="3"/>
    <x v="5"/>
    <x v="118"/>
    <m/>
    <m/>
    <n v="62500"/>
  </r>
  <r>
    <x v="40"/>
    <x v="5"/>
    <x v="119"/>
    <m/>
    <m/>
    <n v="19000"/>
  </r>
  <r>
    <x v="8"/>
    <x v="5"/>
    <x v="120"/>
    <m/>
    <m/>
    <n v="19380"/>
  </r>
  <r>
    <x v="41"/>
    <x v="5"/>
    <x v="121"/>
    <m/>
    <m/>
    <n v="45000"/>
  </r>
  <r>
    <x v="3"/>
    <x v="5"/>
    <x v="122"/>
    <m/>
    <m/>
    <n v="2000"/>
  </r>
  <r>
    <x v="3"/>
    <x v="5"/>
    <x v="123"/>
    <m/>
    <m/>
    <n v="71100"/>
  </r>
  <r>
    <x v="15"/>
    <x v="5"/>
    <x v="124"/>
    <m/>
    <m/>
    <n v="2000"/>
  </r>
  <r>
    <x v="14"/>
    <x v="5"/>
    <x v="125"/>
    <m/>
    <m/>
    <n v="10000"/>
  </r>
  <r>
    <x v="3"/>
    <x v="5"/>
    <x v="126"/>
    <m/>
    <m/>
    <n v="56000"/>
  </r>
  <r>
    <x v="14"/>
    <x v="5"/>
    <x v="127"/>
    <m/>
    <m/>
    <n v="10000"/>
  </r>
  <r>
    <x v="4"/>
    <x v="0"/>
    <x v="128"/>
    <m/>
    <m/>
    <n v="700"/>
  </r>
  <r>
    <x v="4"/>
    <x v="0"/>
    <x v="129"/>
    <m/>
    <m/>
    <n v="4650"/>
  </r>
  <r>
    <x v="4"/>
    <x v="0"/>
    <x v="130"/>
    <m/>
    <m/>
    <n v="8250"/>
  </r>
  <r>
    <x v="4"/>
    <x v="0"/>
    <x v="131"/>
    <m/>
    <m/>
    <n v="2100"/>
  </r>
  <r>
    <x v="4"/>
    <x v="0"/>
    <x v="132"/>
    <m/>
    <m/>
    <n v="8700"/>
  </r>
  <r>
    <x v="4"/>
    <x v="0"/>
    <x v="133"/>
    <m/>
    <m/>
    <n v="10800"/>
  </r>
  <r>
    <x v="15"/>
    <x v="5"/>
    <x v="134"/>
    <m/>
    <m/>
    <n v="3000"/>
  </r>
  <r>
    <x v="42"/>
    <x v="5"/>
    <x v="135"/>
    <m/>
    <m/>
    <n v="262535"/>
  </r>
  <r>
    <x v="42"/>
    <x v="5"/>
    <x v="136"/>
    <m/>
    <m/>
    <n v="87780"/>
  </r>
  <r>
    <x v="14"/>
    <x v="5"/>
    <x v="137"/>
    <m/>
    <m/>
    <n v="7800"/>
  </r>
  <r>
    <x v="3"/>
    <x v="5"/>
    <x v="138"/>
    <m/>
    <m/>
    <n v="50400"/>
  </r>
  <r>
    <x v="3"/>
    <x v="5"/>
    <x v="139"/>
    <m/>
    <m/>
    <n v="2000"/>
  </r>
  <r>
    <x v="3"/>
    <x v="5"/>
    <x v="140"/>
    <m/>
    <m/>
    <n v="35800"/>
  </r>
  <r>
    <x v="21"/>
    <x v="5"/>
    <x v="141"/>
    <m/>
    <m/>
    <n v="100000"/>
  </r>
  <r>
    <x v="22"/>
    <x v="5"/>
    <x v="142"/>
    <m/>
    <m/>
    <n v="12000"/>
  </r>
  <r>
    <x v="3"/>
    <x v="5"/>
    <x v="143"/>
    <m/>
    <m/>
    <n v="7000"/>
  </r>
  <r>
    <x v="40"/>
    <x v="5"/>
    <x v="144"/>
    <m/>
    <m/>
    <n v="5500"/>
  </r>
  <r>
    <x v="43"/>
    <x v="5"/>
    <x v="145"/>
    <m/>
    <m/>
    <n v="5500"/>
  </r>
  <r>
    <x v="4"/>
    <x v="0"/>
    <x v="146"/>
    <m/>
    <m/>
    <n v="10050"/>
  </r>
  <r>
    <x v="42"/>
    <x v="5"/>
    <x v="147"/>
    <m/>
    <m/>
    <n v="50160"/>
  </r>
  <r>
    <x v="3"/>
    <x v="5"/>
    <x v="148"/>
    <m/>
    <m/>
    <n v="24950"/>
  </r>
  <r>
    <x v="44"/>
    <x v="5"/>
    <x v="149"/>
    <m/>
    <m/>
    <n v="14000"/>
  </r>
  <r>
    <x v="4"/>
    <x v="0"/>
    <x v="150"/>
    <m/>
    <m/>
    <n v="2250"/>
  </r>
  <r>
    <x v="40"/>
    <x v="5"/>
    <x v="151"/>
    <m/>
    <m/>
    <n v="8150"/>
  </r>
  <r>
    <x v="14"/>
    <x v="5"/>
    <x v="152"/>
    <m/>
    <m/>
    <n v="2300"/>
  </r>
  <r>
    <x v="3"/>
    <x v="5"/>
    <x v="153"/>
    <m/>
    <m/>
    <n v="10000"/>
  </r>
  <r>
    <x v="45"/>
    <x v="5"/>
    <x v="154"/>
    <m/>
    <m/>
    <n v="15400"/>
  </r>
  <r>
    <x v="22"/>
    <x v="5"/>
    <x v="155"/>
    <m/>
    <m/>
    <n v="12000"/>
  </r>
  <r>
    <x v="44"/>
    <x v="5"/>
    <x v="156"/>
    <m/>
    <m/>
    <n v="15000"/>
  </r>
  <r>
    <x v="2"/>
    <x v="5"/>
    <x v="157"/>
    <m/>
    <m/>
    <n v="58252"/>
  </r>
  <r>
    <x v="14"/>
    <x v="5"/>
    <x v="158"/>
    <m/>
    <m/>
    <n v="18400"/>
  </r>
  <r>
    <x v="19"/>
    <x v="5"/>
    <x v="159"/>
    <m/>
    <m/>
    <n v="23500"/>
  </r>
  <r>
    <x v="3"/>
    <x v="5"/>
    <x v="160"/>
    <m/>
    <m/>
    <n v="46368"/>
  </r>
  <r>
    <x v="3"/>
    <x v="5"/>
    <x v="161"/>
    <m/>
    <m/>
    <n v="500"/>
  </r>
  <r>
    <x v="46"/>
    <x v="5"/>
    <x v="162"/>
    <m/>
    <m/>
    <n v="36480"/>
  </r>
  <r>
    <x v="47"/>
    <x v="5"/>
    <x v="163"/>
    <m/>
    <m/>
    <n v="1190"/>
  </r>
  <r>
    <x v="48"/>
    <x v="5"/>
    <x v="164"/>
    <m/>
    <m/>
    <n v="800"/>
  </r>
  <r>
    <x v="4"/>
    <x v="0"/>
    <x v="165"/>
    <m/>
    <m/>
    <n v="4000"/>
  </r>
  <r>
    <x v="22"/>
    <x v="5"/>
    <x v="166"/>
    <m/>
    <m/>
    <n v="10000"/>
  </r>
  <r>
    <x v="3"/>
    <x v="5"/>
    <x v="167"/>
    <m/>
    <m/>
    <n v="5000"/>
  </r>
  <r>
    <x v="20"/>
    <x v="5"/>
    <x v="168"/>
    <m/>
    <m/>
    <n v="8500"/>
  </r>
  <r>
    <x v="49"/>
    <x v="5"/>
    <x v="169"/>
    <m/>
    <m/>
    <n v="1710"/>
  </r>
  <r>
    <x v="23"/>
    <x v="5"/>
    <x v="170"/>
    <m/>
    <m/>
    <n v="38576"/>
  </r>
  <r>
    <x v="34"/>
    <x v="5"/>
    <x v="171"/>
    <m/>
    <m/>
    <n v="5959"/>
  </r>
  <r>
    <x v="4"/>
    <x v="0"/>
    <x v="172"/>
    <m/>
    <m/>
    <n v="11100"/>
  </r>
  <r>
    <x v="50"/>
    <x v="5"/>
    <x v="173"/>
    <m/>
    <m/>
    <n v="2000"/>
  </r>
  <r>
    <x v="3"/>
    <x v="5"/>
    <x v="174"/>
    <m/>
    <m/>
    <n v="1500"/>
  </r>
  <r>
    <x v="3"/>
    <x v="5"/>
    <x v="175"/>
    <m/>
    <m/>
    <n v="48800"/>
  </r>
  <r>
    <x v="8"/>
    <x v="5"/>
    <x v="176"/>
    <m/>
    <m/>
    <n v="400"/>
  </r>
  <r>
    <x v="8"/>
    <x v="5"/>
    <x v="177"/>
    <m/>
    <m/>
    <n v="500"/>
  </r>
  <r>
    <x v="23"/>
    <x v="5"/>
    <x v="178"/>
    <m/>
    <m/>
    <n v="21500"/>
  </r>
  <r>
    <x v="4"/>
    <x v="0"/>
    <x v="179"/>
    <m/>
    <m/>
    <n v="9150"/>
  </r>
  <r>
    <x v="3"/>
    <x v="5"/>
    <x v="180"/>
    <m/>
    <m/>
    <n v="2500"/>
  </r>
  <r>
    <x v="3"/>
    <x v="5"/>
    <x v="181"/>
    <m/>
    <m/>
    <n v="39000"/>
  </r>
  <r>
    <x v="19"/>
    <x v="5"/>
    <x v="182"/>
    <m/>
    <m/>
    <n v="23000"/>
  </r>
  <r>
    <x v="51"/>
    <x v="2"/>
    <x v="183"/>
    <m/>
    <m/>
    <n v="31000"/>
  </r>
  <r>
    <x v="3"/>
    <x v="5"/>
    <x v="184"/>
    <m/>
    <m/>
    <n v="10000"/>
  </r>
  <r>
    <x v="3"/>
    <x v="5"/>
    <x v="185"/>
    <m/>
    <m/>
    <n v="500"/>
  </r>
  <r>
    <x v="51"/>
    <x v="2"/>
    <x v="186"/>
    <m/>
    <m/>
    <n v="30000"/>
  </r>
  <r>
    <x v="3"/>
    <x v="5"/>
    <x v="187"/>
    <m/>
    <m/>
    <n v="29000"/>
  </r>
  <r>
    <x v="23"/>
    <x v="5"/>
    <x v="188"/>
    <m/>
    <m/>
    <n v="30530"/>
  </r>
  <r>
    <x v="34"/>
    <x v="5"/>
    <x v="189"/>
    <m/>
    <m/>
    <n v="33153"/>
  </r>
  <r>
    <x v="52"/>
    <x v="5"/>
    <x v="190"/>
    <m/>
    <m/>
    <n v="1200"/>
  </r>
  <r>
    <x v="3"/>
    <x v="5"/>
    <x v="191"/>
    <m/>
    <m/>
    <n v="2000"/>
  </r>
  <r>
    <x v="8"/>
    <x v="5"/>
    <x v="192"/>
    <m/>
    <m/>
    <n v="1860"/>
  </r>
  <r>
    <x v="3"/>
    <x v="5"/>
    <x v="193"/>
    <m/>
    <m/>
    <n v="41000"/>
  </r>
  <r>
    <x v="3"/>
    <x v="5"/>
    <x v="194"/>
    <m/>
    <m/>
    <n v="2000"/>
  </r>
  <r>
    <x v="53"/>
    <x v="5"/>
    <x v="195"/>
    <m/>
    <m/>
    <n v="75000"/>
  </r>
  <r>
    <x v="8"/>
    <x v="5"/>
    <x v="196"/>
    <m/>
    <m/>
    <n v="1500"/>
  </r>
  <r>
    <x v="3"/>
    <x v="5"/>
    <x v="197"/>
    <m/>
    <m/>
    <n v="37500"/>
  </r>
  <r>
    <x v="23"/>
    <x v="5"/>
    <x v="198"/>
    <m/>
    <m/>
    <n v="66325"/>
  </r>
  <r>
    <x v="37"/>
    <x v="5"/>
    <x v="199"/>
    <m/>
    <m/>
    <n v="300"/>
  </r>
  <r>
    <x v="37"/>
    <x v="5"/>
    <x v="200"/>
    <m/>
    <m/>
    <n v="1600"/>
  </r>
  <r>
    <x v="54"/>
    <x v="5"/>
    <x v="201"/>
    <m/>
    <m/>
    <n v="650"/>
  </r>
  <r>
    <x v="3"/>
    <x v="5"/>
    <x v="202"/>
    <m/>
    <m/>
    <n v="15100"/>
  </r>
  <r>
    <x v="55"/>
    <x v="5"/>
    <x v="203"/>
    <m/>
    <m/>
    <n v="34595"/>
  </r>
  <r>
    <x v="55"/>
    <x v="5"/>
    <x v="204"/>
    <m/>
    <m/>
    <n v="76650"/>
  </r>
  <r>
    <x v="55"/>
    <x v="5"/>
    <x v="205"/>
    <m/>
    <m/>
    <n v="7530"/>
  </r>
  <r>
    <x v="55"/>
    <x v="5"/>
    <x v="205"/>
    <m/>
    <m/>
    <n v="11850"/>
  </r>
  <r>
    <x v="56"/>
    <x v="5"/>
    <x v="206"/>
    <m/>
    <m/>
    <n v="15000"/>
  </r>
  <r>
    <x v="19"/>
    <x v="5"/>
    <x v="207"/>
    <m/>
    <m/>
    <n v="23000"/>
  </r>
  <r>
    <x v="3"/>
    <x v="5"/>
    <x v="208"/>
    <m/>
    <m/>
    <n v="15600"/>
  </r>
  <r>
    <x v="4"/>
    <x v="0"/>
    <x v="209"/>
    <m/>
    <m/>
    <n v="20000"/>
  </r>
  <r>
    <x v="3"/>
    <x v="5"/>
    <x v="210"/>
    <m/>
    <m/>
    <n v="11600"/>
  </r>
  <r>
    <x v="28"/>
    <x v="5"/>
    <x v="211"/>
    <m/>
    <m/>
    <n v="2250"/>
  </r>
  <r>
    <x v="23"/>
    <x v="5"/>
    <x v="212"/>
    <m/>
    <m/>
    <n v="2140"/>
  </r>
  <r>
    <x v="4"/>
    <x v="0"/>
    <x v="213"/>
    <m/>
    <m/>
    <n v="3000"/>
  </r>
  <r>
    <x v="3"/>
    <x v="5"/>
    <x v="214"/>
    <m/>
    <m/>
    <n v="25500"/>
  </r>
  <r>
    <x v="34"/>
    <x v="5"/>
    <x v="215"/>
    <m/>
    <m/>
    <n v="1800"/>
  </r>
  <r>
    <x v="34"/>
    <x v="5"/>
    <x v="216"/>
    <m/>
    <m/>
    <n v="600"/>
  </r>
  <r>
    <x v="23"/>
    <x v="5"/>
    <x v="217"/>
    <m/>
    <m/>
    <n v="1100"/>
  </r>
  <r>
    <x v="23"/>
    <x v="5"/>
    <x v="218"/>
    <m/>
    <m/>
    <n v="18470"/>
  </r>
  <r>
    <x v="23"/>
    <x v="5"/>
    <x v="219"/>
    <m/>
    <m/>
    <n v="460"/>
  </r>
  <r>
    <x v="14"/>
    <x v="5"/>
    <x v="220"/>
    <m/>
    <m/>
    <n v="4500"/>
  </r>
  <r>
    <x v="34"/>
    <x v="5"/>
    <x v="221"/>
    <m/>
    <m/>
    <n v="14189"/>
  </r>
  <r>
    <x v="34"/>
    <x v="5"/>
    <x v="222"/>
    <m/>
    <m/>
    <n v="15841"/>
  </r>
  <r>
    <x v="3"/>
    <x v="5"/>
    <x v="223"/>
    <m/>
    <m/>
    <n v="5000"/>
  </r>
  <r>
    <x v="57"/>
    <x v="5"/>
    <x v="224"/>
    <m/>
    <m/>
    <n v="415065"/>
  </r>
  <r>
    <x v="3"/>
    <x v="5"/>
    <x v="225"/>
    <m/>
    <m/>
    <n v="78475"/>
  </r>
  <r>
    <x v="58"/>
    <x v="5"/>
    <x v="226"/>
    <m/>
    <m/>
    <n v="800"/>
  </r>
  <r>
    <x v="4"/>
    <x v="0"/>
    <x v="227"/>
    <m/>
    <m/>
    <n v="3000"/>
  </r>
  <r>
    <x v="46"/>
    <x v="5"/>
    <x v="228"/>
    <m/>
    <m/>
    <n v="53750"/>
  </r>
  <r>
    <x v="59"/>
    <x v="5"/>
    <x v="229"/>
    <m/>
    <m/>
    <n v="3600"/>
  </r>
  <r>
    <x v="60"/>
    <x v="5"/>
    <x v="230"/>
    <m/>
    <m/>
    <n v="10250"/>
  </r>
  <r>
    <x v="61"/>
    <x v="5"/>
    <x v="231"/>
    <m/>
    <m/>
    <n v="5000"/>
  </r>
  <r>
    <x v="41"/>
    <x v="5"/>
    <x v="232"/>
    <m/>
    <m/>
    <n v="45000"/>
  </r>
  <r>
    <x v="45"/>
    <x v="5"/>
    <x v="233"/>
    <m/>
    <m/>
    <n v="6050"/>
  </r>
  <r>
    <x v="58"/>
    <x v="5"/>
    <x v="234"/>
    <m/>
    <m/>
    <n v="350"/>
  </r>
  <r>
    <x v="62"/>
    <x v="5"/>
    <x v="235"/>
    <m/>
    <m/>
    <n v="71218"/>
  </r>
  <r>
    <x v="4"/>
    <x v="0"/>
    <x v="236"/>
    <m/>
    <m/>
    <n v="5000"/>
  </r>
  <r>
    <x v="4"/>
    <x v="0"/>
    <x v="237"/>
    <m/>
    <m/>
    <n v="2500"/>
  </r>
  <r>
    <x v="61"/>
    <x v="5"/>
    <x v="237"/>
    <m/>
    <m/>
    <n v="10000"/>
  </r>
  <r>
    <x v="23"/>
    <x v="5"/>
    <x v="238"/>
    <m/>
    <m/>
    <n v="450"/>
  </r>
  <r>
    <x v="63"/>
    <x v="5"/>
    <x v="239"/>
    <m/>
    <m/>
    <n v="4500"/>
  </r>
  <r>
    <x v="64"/>
    <x v="5"/>
    <x v="240"/>
    <m/>
    <m/>
    <n v="1500"/>
  </r>
  <r>
    <x v="3"/>
    <x v="5"/>
    <x v="241"/>
    <m/>
    <m/>
    <n v="78285"/>
  </r>
  <r>
    <x v="23"/>
    <x v="5"/>
    <x v="242"/>
    <m/>
    <m/>
    <n v="1500"/>
  </r>
  <r>
    <x v="23"/>
    <x v="5"/>
    <x v="243"/>
    <m/>
    <m/>
    <n v="600"/>
  </r>
  <r>
    <x v="61"/>
    <x v="5"/>
    <x v="244"/>
    <m/>
    <m/>
    <n v="10000"/>
  </r>
  <r>
    <x v="61"/>
    <x v="5"/>
    <x v="245"/>
    <s v="Stage-01"/>
    <m/>
    <n v="50000"/>
  </r>
  <r>
    <x v="65"/>
    <x v="5"/>
    <x v="246"/>
    <s v="Stage-04"/>
    <m/>
    <n v="20000"/>
  </r>
  <r>
    <x v="61"/>
    <x v="5"/>
    <x v="247"/>
    <m/>
    <m/>
    <n v="43300"/>
  </r>
  <r>
    <x v="3"/>
    <x v="5"/>
    <x v="248"/>
    <m/>
    <m/>
    <n v="13900"/>
  </r>
  <r>
    <x v="22"/>
    <x v="5"/>
    <x v="249"/>
    <m/>
    <m/>
    <n v="7000"/>
  </r>
  <r>
    <x v="66"/>
    <x v="5"/>
    <x v="250"/>
    <m/>
    <m/>
    <n v="7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15:I84" firstHeaderRow="1" firstDataRow="2" firstDataCol="1"/>
  <pivotFields count="6">
    <pivotField axis="axisRow" showAll="0">
      <items count="97">
        <item x="20"/>
        <item x="47"/>
        <item x="45"/>
        <item x="63"/>
        <item m="1" x="68"/>
        <item x="3"/>
        <item m="1" x="74"/>
        <item m="1" x="77"/>
        <item m="1" x="85"/>
        <item x="51"/>
        <item x="46"/>
        <item x="48"/>
        <item x="39"/>
        <item m="1" x="92"/>
        <item x="23"/>
        <item x="64"/>
        <item x="14"/>
        <item m="1" x="75"/>
        <item m="1" x="70"/>
        <item m="1" x="90"/>
        <item x="18"/>
        <item m="1" x="79"/>
        <item m="1" x="73"/>
        <item m="1" x="95"/>
        <item m="1" x="72"/>
        <item m="1" x="81"/>
        <item x="25"/>
        <item x="28"/>
        <item x="8"/>
        <item x="22"/>
        <item x="24"/>
        <item x="49"/>
        <item x="26"/>
        <item x="34"/>
        <item x="6"/>
        <item x="54"/>
        <item m="1" x="84"/>
        <item x="36"/>
        <item x="32"/>
        <item x="30"/>
        <item x="60"/>
        <item x="35"/>
        <item x="37"/>
        <item x="62"/>
        <item x="21"/>
        <item x="33"/>
        <item x="27"/>
        <item x="58"/>
        <item x="2"/>
        <item x="56"/>
        <item x="31"/>
        <item x="1"/>
        <item x="11"/>
        <item x="7"/>
        <item m="1" x="76"/>
        <item x="12"/>
        <item x="10"/>
        <item m="1" x="82"/>
        <item x="9"/>
        <item x="38"/>
        <item x="15"/>
        <item x="13"/>
        <item x="53"/>
        <item x="52"/>
        <item x="17"/>
        <item m="1" x="86"/>
        <item m="1" x="71"/>
        <item x="44"/>
        <item x="5"/>
        <item x="61"/>
        <item x="59"/>
        <item x="50"/>
        <item x="19"/>
        <item x="41"/>
        <item m="1" x="80"/>
        <item x="43"/>
        <item x="57"/>
        <item x="16"/>
        <item x="0"/>
        <item m="1" x="93"/>
        <item m="1" x="89"/>
        <item m="1" x="88"/>
        <item m="1" x="94"/>
        <item m="1" x="78"/>
        <item m="1" x="91"/>
        <item m="1" x="69"/>
        <item x="29"/>
        <item x="55"/>
        <item x="65"/>
        <item m="1" x="87"/>
        <item m="1" x="83"/>
        <item x="66"/>
        <item x="42"/>
        <item x="40"/>
        <item m="1" x="67"/>
        <item x="4"/>
        <item t="default"/>
      </items>
    </pivotField>
    <pivotField axis="axisCol" showAll="0">
      <items count="8">
        <item x="2"/>
        <item x="4"/>
        <item x="1"/>
        <item x="3"/>
        <item x="0"/>
        <item m="1" x="6"/>
        <item x="5"/>
        <item t="default"/>
      </items>
    </pivotField>
    <pivotField showAll="0">
      <items count="252"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5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70"/>
        <item x="69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showAll="0"/>
    <pivotField showAll="0"/>
    <pivotField dataField="1" showAll="0"/>
  </pivotFields>
  <rowFields count="1">
    <field x="0"/>
  </rowFields>
  <rowItems count="68">
    <i>
      <x/>
    </i>
    <i>
      <x v="1"/>
    </i>
    <i>
      <x v="2"/>
    </i>
    <i>
      <x v="3"/>
    </i>
    <i>
      <x v="5"/>
    </i>
    <i>
      <x v="9"/>
    </i>
    <i>
      <x v="10"/>
    </i>
    <i>
      <x v="11"/>
    </i>
    <i>
      <x v="12"/>
    </i>
    <i>
      <x v="14"/>
    </i>
    <i>
      <x v="15"/>
    </i>
    <i>
      <x v="16"/>
    </i>
    <i>
      <x v="20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5"/>
    </i>
    <i>
      <x v="56"/>
    </i>
    <i>
      <x v="58"/>
    </i>
    <i>
      <x v="59"/>
    </i>
    <i>
      <x v="60"/>
    </i>
    <i>
      <x v="61"/>
    </i>
    <i>
      <x v="62"/>
    </i>
    <i>
      <x v="63"/>
    </i>
    <i>
      <x v="64"/>
    </i>
    <i>
      <x v="67"/>
    </i>
    <i>
      <x v="68"/>
    </i>
    <i>
      <x v="69"/>
    </i>
    <i>
      <x v="70"/>
    </i>
    <i>
      <x v="71"/>
    </i>
    <i>
      <x v="72"/>
    </i>
    <i>
      <x v="73"/>
    </i>
    <i>
      <x v="75"/>
    </i>
    <i>
      <x v="76"/>
    </i>
    <i>
      <x v="77"/>
    </i>
    <i>
      <x v="78"/>
    </i>
    <i>
      <x v="86"/>
    </i>
    <i>
      <x v="87"/>
    </i>
    <i>
      <x v="88"/>
    </i>
    <i>
      <x v="91"/>
    </i>
    <i>
      <x v="92"/>
    </i>
    <i>
      <x v="93"/>
    </i>
    <i>
      <x v="9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6"/>
    </i>
    <i t="grand">
      <x/>
    </i>
  </colItems>
  <dataFields count="1">
    <dataField name="Sum of Total" fld="5" baseField="0" baseItem="86" numFmtId="169"/>
  </dataFields>
  <formats count="15">
    <format dxfId="62">
      <pivotArea field="0" type="button" dataOnly="0" labelOnly="1" outline="0" axis="axisRow" fieldPosition="0"/>
    </format>
    <format dxfId="61">
      <pivotArea dataOnly="0" labelOnly="1" outline="0" axis="axisValues" fieldPosition="0"/>
    </format>
    <format dxfId="60">
      <pivotArea field="0" type="button" dataOnly="0" labelOnly="1" outline="0" axis="axisRow" fieldPosition="0"/>
    </format>
    <format dxfId="59">
      <pivotArea dataOnly="0" labelOnly="1" outline="0" axis="axisValues" fieldPosition="0"/>
    </format>
    <format dxfId="58">
      <pivotArea field="0" type="button" dataOnly="0" labelOnly="1" outline="0" axis="axisRow" fieldPosition="0"/>
    </format>
    <format dxfId="57">
      <pivotArea dataOnly="0" labelOnly="1" outline="0" axis="axisValues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Col="1" outline="0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fieldPosition="0">
        <references count="1">
          <reference field="0" count="50">
            <x v="0"/>
            <x v="1"/>
            <x v="2"/>
            <x v="3"/>
            <x v="5"/>
            <x v="9"/>
            <x v="10"/>
            <x v="11"/>
            <x v="12"/>
            <x v="14"/>
            <x v="15"/>
            <x v="16"/>
            <x v="20"/>
            <x v="26"/>
            <x v="27"/>
            <x v="28"/>
            <x v="29"/>
            <x v="30"/>
            <x v="31"/>
            <x v="32"/>
            <x v="33"/>
            <x v="34"/>
            <x v="35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5"/>
            <x v="56"/>
            <x v="58"/>
            <x v="59"/>
            <x v="60"/>
            <x v="61"/>
            <x v="62"/>
            <x v="63"/>
            <x v="64"/>
            <x v="67"/>
          </reference>
        </references>
      </pivotArea>
    </format>
    <format dxfId="51">
      <pivotArea dataOnly="0" labelOnly="1" fieldPosition="0">
        <references count="1">
          <reference field="0" count="17">
            <x v="68"/>
            <x v="69"/>
            <x v="70"/>
            <x v="71"/>
            <x v="72"/>
            <x v="73"/>
            <x v="75"/>
            <x v="76"/>
            <x v="77"/>
            <x v="78"/>
            <x v="86"/>
            <x v="87"/>
            <x v="88"/>
            <x v="91"/>
            <x v="92"/>
            <x v="93"/>
            <x v="95"/>
          </reference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Z262" totalsRowCount="1" headerRowDxfId="47" dataDxfId="46" totalsRowDxfId="45" headerRowCellStyle="Comma" dataCellStyle="Comma">
  <autoFilter ref="A5:Z261" xr:uid="{00000000-0009-0000-0100-000001000000}"/>
  <tableColumns count="26">
    <tableColumn id="1" xr3:uid="{00000000-0010-0000-0000-000001000000}" name="Date" totalsRowDxfId="44"/>
    <tableColumn id="25" xr3:uid="{00000000-0010-0000-0000-000019000000}" name="Payment No" dataDxfId="43" totalsRowDxfId="42"/>
    <tableColumn id="2" xr3:uid="{00000000-0010-0000-0000-000002000000}" name="Amount" totalsRowFunction="sum" totalsRowDxfId="41" dataCellStyle="Comma"/>
    <tableColumn id="3" xr3:uid="{00000000-0010-0000-0000-000003000000}" name="Cumulative" totalsRowFunction="custom" totalsRowDxfId="40" dataCellStyle="Comma">
      <totalsRowFormula>D15</totalsRowFormula>
    </tableColumn>
    <tableColumn id="4" xr3:uid="{00000000-0010-0000-0000-000004000000}" name="Remarks" dataDxfId="39" totalsRowDxfId="38" dataCellStyle="Comma"/>
    <tableColumn id="5" xr3:uid="{00000000-0010-0000-0000-000005000000}" name="Date2" totalsRowDxfId="37"/>
    <tableColumn id="6" xr3:uid="{00000000-0010-0000-0000-000006000000}" name="Entry_x000a_ No" dataDxfId="36" totalsRowDxfId="35" dataCellStyle="Comma"/>
    <tableColumn id="7" xr3:uid="{00000000-0010-0000-0000-000007000000}" name="Description" totalsRowDxfId="34"/>
    <tableColumn id="24" xr3:uid="{00000000-0010-0000-0000-000018000000}" name="Category" dataDxfId="33" totalsRowDxfId="32"/>
    <tableColumn id="8" xr3:uid="{00000000-0010-0000-0000-000008000000}" name="Memo" totalsRowDxfId="31"/>
    <tableColumn id="9" xr3:uid="{00000000-0010-0000-0000-000009000000}" name="Stage" totalsRowDxfId="30"/>
    <tableColumn id="10" xr3:uid="{00000000-0010-0000-0000-00000A000000}" name="BOQ Item" totalsRowDxfId="29"/>
    <tableColumn id="11" xr3:uid="{00000000-0010-0000-0000-00000B000000}" name="Total" totalsRowFunction="sum" dataDxfId="28" totalsRowDxfId="27" dataCellStyle="Comma"/>
    <tableColumn id="12" xr3:uid="{00000000-0010-0000-0000-00000C000000}" name="Cumulative2" totalsRowFunction="custom" totalsRowDxfId="26" dataCellStyle="Comma">
      <totalsRowFormula>N261</totalsRowFormula>
    </tableColumn>
    <tableColumn id="26" xr3:uid="{00000000-0010-0000-0000-00001A000000}" name="Outstanding _x000a_Payments" totalsRowFunction="custom" dataDxfId="25" totalsRowDxfId="24" dataCellStyle="Comma">
      <totalsRowFormula>SUBTOTAL(9,Table1[[#Totals],[Cumulative2]])</totalsRowFormula>
    </tableColumn>
    <tableColumn id="13" xr3:uid="{00000000-0010-0000-0000-00000D000000}" name="Transport_x000a_" dataDxfId="23" totalsRowDxfId="22" dataCellStyle="Comma"/>
    <tableColumn id="14" xr3:uid="{00000000-0010-0000-0000-00000E000000}" name="Labour / Sub Contractor" dataDxfId="21" totalsRowDxfId="20" dataCellStyle="Comma"/>
    <tableColumn id="15" xr3:uid="{00000000-0010-0000-0000-00000F000000}" name="Site Visit" dataDxfId="19" totalsRowDxfId="18" dataCellStyle="Comma"/>
    <tableColumn id="16" xr3:uid="{00000000-0010-0000-0000-000010000000}" name="Machinery" dataDxfId="17" totalsRowDxfId="16" dataCellStyle="Comma"/>
    <tableColumn id="17" xr3:uid="{00000000-0010-0000-0000-000011000000}" name="Minor Material" dataDxfId="15" totalsRowDxfId="14" dataCellStyle="Comma"/>
    <tableColumn id="18" xr3:uid="{00000000-0010-0000-0000-000012000000}" name="Major Material" dataDxfId="13" totalsRowDxfId="12" dataCellStyle="Comma"/>
    <tableColumn id="19" xr3:uid="{00000000-0010-0000-0000-000013000000}" name="Service Charge" dataDxfId="11" totalsRowDxfId="10" dataCellStyle="Comma"/>
    <tableColumn id="20" xr3:uid="{00000000-0010-0000-0000-000014000000}" name="Utility Bills" dataDxfId="9" totalsRowDxfId="8" dataCellStyle="Comma"/>
    <tableColumn id="21" xr3:uid="{00000000-0010-0000-0000-000015000000}" name="Food &amp; Beverages" dataDxfId="7" totalsRowDxfId="6" dataCellStyle="Comma"/>
    <tableColumn id="22" xr3:uid="{00000000-0010-0000-0000-000016000000}" name="Fuel" dataDxfId="5" totalsRowDxfId="4" dataCellStyle="Comma"/>
    <tableColumn id="23" xr3:uid="{00000000-0010-0000-0000-000017000000}" name="Others" dataDxfId="3" totalsRowDxfId="2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vegahomes.lk" TargetMode="External"/><Relationship Id="rId1" Type="http://schemas.openxmlformats.org/officeDocument/2006/relationships/hyperlink" Target="http://www.vegahomes.lk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2"/>
  <sheetViews>
    <sheetView showGridLines="0" topLeftCell="A19" zoomScale="70" zoomScaleNormal="70" workbookViewId="0">
      <selection activeCell="R23" sqref="R23"/>
    </sheetView>
  </sheetViews>
  <sheetFormatPr defaultColWidth="12.5703125" defaultRowHeight="15.75" customHeight="1" x14ac:dyDescent="0.2"/>
  <cols>
    <col min="1" max="1" width="3.28515625" style="124" customWidth="1"/>
    <col min="2" max="3" width="12.5703125" style="124" customWidth="1"/>
    <col min="4" max="4" width="5.42578125" style="124" customWidth="1"/>
    <col min="5" max="6" width="12.5703125" style="124" customWidth="1"/>
    <col min="7" max="7" width="5.42578125" style="124" customWidth="1"/>
    <col min="8" max="8" width="12.5703125" style="124" customWidth="1"/>
    <col min="9" max="9" width="12.5703125" style="124"/>
    <col min="10" max="10" width="4.140625" style="124" customWidth="1"/>
    <col min="11" max="11" width="28" style="124" customWidth="1"/>
    <col min="12" max="14" width="26.28515625" style="124" customWidth="1"/>
    <col min="15" max="16384" width="12.5703125" style="124"/>
  </cols>
  <sheetData>
    <row r="1" spans="1:15" ht="19.5" x14ac:dyDescent="0.2">
      <c r="A1" s="123"/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ht="16.5" customHeight="1" x14ac:dyDescent="0.2">
      <c r="A2" s="123"/>
      <c r="B2" s="123"/>
      <c r="C2" s="123"/>
      <c r="E2" s="195" t="s">
        <v>412</v>
      </c>
      <c r="F2" s="174"/>
      <c r="G2" s="174"/>
      <c r="H2" s="196" t="s">
        <v>377</v>
      </c>
      <c r="I2" s="174"/>
      <c r="J2" s="174"/>
      <c r="K2" s="174"/>
      <c r="L2" s="174"/>
      <c r="M2" s="174"/>
      <c r="N2" s="174"/>
      <c r="O2" s="123"/>
    </row>
    <row r="3" spans="1:15" ht="16.5" customHeight="1" x14ac:dyDescent="0.2">
      <c r="A3" s="123"/>
      <c r="B3" s="123"/>
      <c r="C3" s="123"/>
      <c r="E3" s="195" t="s">
        <v>413</v>
      </c>
      <c r="F3" s="174"/>
      <c r="G3" s="174"/>
      <c r="H3" s="174"/>
      <c r="I3" s="174"/>
      <c r="J3" s="174"/>
      <c r="K3" s="174"/>
      <c r="L3" s="174"/>
      <c r="M3" s="174"/>
      <c r="N3" s="174"/>
      <c r="O3" s="123"/>
    </row>
    <row r="4" spans="1:15" ht="16.5" customHeight="1" x14ac:dyDescent="0.2">
      <c r="A4" s="123"/>
      <c r="B4" s="123"/>
      <c r="C4" s="123"/>
      <c r="E4" s="197" t="s">
        <v>414</v>
      </c>
      <c r="F4" s="174"/>
      <c r="G4" s="174"/>
      <c r="H4" s="174"/>
      <c r="I4" s="174"/>
      <c r="J4" s="174"/>
      <c r="K4" s="174"/>
      <c r="L4" s="174"/>
      <c r="M4" s="174"/>
      <c r="N4" s="174"/>
      <c r="O4" s="123"/>
    </row>
    <row r="5" spans="1:15" ht="16.5" customHeight="1" x14ac:dyDescent="0.2">
      <c r="A5" s="123"/>
      <c r="B5" s="123"/>
      <c r="C5" s="123"/>
      <c r="E5" s="198" t="s">
        <v>415</v>
      </c>
      <c r="F5" s="174"/>
      <c r="G5" s="174"/>
      <c r="H5" s="174"/>
      <c r="I5" s="174"/>
      <c r="J5" s="174"/>
      <c r="K5" s="174"/>
      <c r="L5" s="174"/>
      <c r="M5" s="174"/>
      <c r="N5" s="174"/>
      <c r="O5" s="123"/>
    </row>
    <row r="6" spans="1:15" ht="22.5" customHeight="1" x14ac:dyDescent="0.2">
      <c r="A6" s="123"/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</row>
    <row r="7" spans="1:15" ht="3.75" customHeight="1" x14ac:dyDescent="0.2">
      <c r="A7" s="123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3"/>
    </row>
    <row r="8" spans="1:15" ht="19.5" x14ac:dyDescent="0.2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1:15" ht="31.5" customHeight="1" x14ac:dyDescent="0.2">
      <c r="A9" s="126"/>
      <c r="B9" s="194" t="s">
        <v>378</v>
      </c>
      <c r="C9" s="174"/>
      <c r="D9" s="174"/>
      <c r="E9" s="174"/>
      <c r="F9" s="174"/>
      <c r="G9" s="174"/>
      <c r="H9" s="174"/>
      <c r="I9" s="126"/>
      <c r="J9" s="126"/>
      <c r="K9" s="127" t="s">
        <v>379</v>
      </c>
      <c r="L9" s="127" t="s">
        <v>380</v>
      </c>
      <c r="M9" s="127" t="s">
        <v>381</v>
      </c>
      <c r="N9" s="127" t="s">
        <v>382</v>
      </c>
      <c r="O9" s="126"/>
    </row>
    <row r="10" spans="1:15" ht="28.5" customHeight="1" x14ac:dyDescent="0.2">
      <c r="A10" s="123"/>
      <c r="B10" s="189" t="s">
        <v>383</v>
      </c>
      <c r="C10" s="190"/>
      <c r="D10" s="191" t="s">
        <v>384</v>
      </c>
      <c r="E10" s="192"/>
      <c r="F10" s="192"/>
      <c r="G10" s="192"/>
      <c r="H10" s="193"/>
      <c r="I10" s="123"/>
      <c r="J10" s="123"/>
      <c r="K10" s="128" t="s">
        <v>385</v>
      </c>
      <c r="L10" s="129">
        <v>35000000</v>
      </c>
      <c r="M10" s="129">
        <v>30000000</v>
      </c>
      <c r="N10" s="130">
        <f t="shared" ref="N10:N19" si="0">L10-M10</f>
        <v>5000000</v>
      </c>
      <c r="O10" s="123"/>
    </row>
    <row r="11" spans="1:15" ht="25.5" customHeight="1" x14ac:dyDescent="0.2">
      <c r="A11" s="123"/>
      <c r="B11" s="176" t="s">
        <v>386</v>
      </c>
      <c r="C11" s="177"/>
      <c r="D11" s="178" t="s">
        <v>416</v>
      </c>
      <c r="E11" s="179"/>
      <c r="F11" s="179"/>
      <c r="G11" s="179"/>
      <c r="H11" s="180"/>
      <c r="I11" s="123"/>
      <c r="J11" s="123"/>
      <c r="K11" s="131" t="s">
        <v>387</v>
      </c>
      <c r="L11" s="132">
        <v>2500000</v>
      </c>
      <c r="M11" s="132">
        <v>1000000</v>
      </c>
      <c r="N11" s="133">
        <f t="shared" si="0"/>
        <v>1500000</v>
      </c>
      <c r="O11" s="123"/>
    </row>
    <row r="12" spans="1:15" ht="25.5" customHeight="1" x14ac:dyDescent="0.2">
      <c r="A12" s="123"/>
      <c r="B12" s="176" t="s">
        <v>388</v>
      </c>
      <c r="C12" s="177"/>
      <c r="D12" s="178"/>
      <c r="E12" s="179"/>
      <c r="F12" s="179"/>
      <c r="G12" s="179"/>
      <c r="H12" s="180"/>
      <c r="I12" s="123"/>
      <c r="J12" s="123"/>
      <c r="K12" s="131" t="s">
        <v>389</v>
      </c>
      <c r="L12" s="132">
        <v>26000000</v>
      </c>
      <c r="M12" s="132">
        <v>3500000</v>
      </c>
      <c r="N12" s="133">
        <f t="shared" si="0"/>
        <v>22500000</v>
      </c>
      <c r="O12" s="123"/>
    </row>
    <row r="13" spans="1:15" ht="25.5" customHeight="1" x14ac:dyDescent="0.2">
      <c r="A13" s="123"/>
      <c r="B13" s="176" t="s">
        <v>390</v>
      </c>
      <c r="C13" s="177"/>
      <c r="D13" s="178"/>
      <c r="E13" s="179"/>
      <c r="F13" s="179"/>
      <c r="G13" s="179"/>
      <c r="H13" s="180"/>
      <c r="I13" s="123"/>
      <c r="J13" s="123"/>
      <c r="K13" s="131" t="s">
        <v>391</v>
      </c>
      <c r="L13" s="132">
        <v>1000000</v>
      </c>
      <c r="M13" s="132">
        <v>280000</v>
      </c>
      <c r="N13" s="133">
        <f t="shared" si="0"/>
        <v>720000</v>
      </c>
      <c r="O13" s="123"/>
    </row>
    <row r="14" spans="1:15" ht="25.5" customHeight="1" x14ac:dyDescent="0.2">
      <c r="A14" s="123"/>
      <c r="B14" s="181" t="s">
        <v>392</v>
      </c>
      <c r="C14" s="182"/>
      <c r="D14" s="183"/>
      <c r="E14" s="184"/>
      <c r="F14" s="184"/>
      <c r="G14" s="184"/>
      <c r="H14" s="185"/>
      <c r="I14" s="123"/>
      <c r="J14" s="123"/>
      <c r="K14" s="131"/>
      <c r="L14" s="132"/>
      <c r="M14" s="132"/>
      <c r="N14" s="133">
        <f t="shared" si="0"/>
        <v>0</v>
      </c>
      <c r="O14" s="123"/>
    </row>
    <row r="15" spans="1:15" ht="25.5" customHeight="1" x14ac:dyDescent="0.2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31"/>
      <c r="L15" s="132"/>
      <c r="M15" s="132"/>
      <c r="N15" s="133">
        <f t="shared" si="0"/>
        <v>0</v>
      </c>
      <c r="O15" s="123"/>
    </row>
    <row r="16" spans="1:15" ht="25.5" customHeight="1" x14ac:dyDescent="0.2">
      <c r="A16" s="123"/>
      <c r="B16" s="186" t="s">
        <v>393</v>
      </c>
      <c r="C16" s="168"/>
      <c r="D16" s="134"/>
      <c r="E16" s="187" t="s">
        <v>394</v>
      </c>
      <c r="F16" s="168"/>
      <c r="G16" s="135"/>
      <c r="H16" s="188" t="s">
        <v>395</v>
      </c>
      <c r="I16" s="168"/>
      <c r="J16" s="123"/>
      <c r="K16" s="131"/>
      <c r="L16" s="132"/>
      <c r="M16" s="132"/>
      <c r="N16" s="133">
        <f t="shared" si="0"/>
        <v>0</v>
      </c>
      <c r="O16" s="123"/>
    </row>
    <row r="17" spans="1:15" ht="25.5" customHeight="1" x14ac:dyDescent="0.2">
      <c r="A17" s="123"/>
      <c r="B17" s="169"/>
      <c r="C17" s="170"/>
      <c r="D17" s="136"/>
      <c r="E17" s="169"/>
      <c r="F17" s="170"/>
      <c r="G17" s="136"/>
      <c r="H17" s="169"/>
      <c r="I17" s="170"/>
      <c r="J17" s="123"/>
      <c r="K17" s="131"/>
      <c r="L17" s="132"/>
      <c r="M17" s="132"/>
      <c r="N17" s="133">
        <f t="shared" si="0"/>
        <v>0</v>
      </c>
      <c r="O17" s="123"/>
    </row>
    <row r="18" spans="1:15" ht="25.5" customHeight="1" x14ac:dyDescent="0.2">
      <c r="A18" s="123"/>
      <c r="B18" s="167">
        <f>Accounts!D262</f>
        <v>6250000</v>
      </c>
      <c r="C18" s="168"/>
      <c r="D18" s="121"/>
      <c r="E18" s="171">
        <f>Accounts!N262</f>
        <v>5194547</v>
      </c>
      <c r="F18" s="168"/>
      <c r="G18" s="121"/>
      <c r="H18" s="172">
        <f>B18-E18</f>
        <v>1055453</v>
      </c>
      <c r="I18" s="168"/>
      <c r="J18" s="123"/>
      <c r="K18" s="137"/>
      <c r="L18" s="138"/>
      <c r="M18" s="138"/>
      <c r="N18" s="139">
        <f t="shared" si="0"/>
        <v>0</v>
      </c>
      <c r="O18" s="123"/>
    </row>
    <row r="19" spans="1:15" ht="31.5" customHeight="1" x14ac:dyDescent="0.2">
      <c r="A19" s="126"/>
      <c r="B19" s="169"/>
      <c r="C19" s="170"/>
      <c r="D19" s="122"/>
      <c r="E19" s="169"/>
      <c r="F19" s="170"/>
      <c r="G19" s="122"/>
      <c r="H19" s="169"/>
      <c r="I19" s="170"/>
      <c r="J19" s="126"/>
      <c r="K19" s="140" t="s">
        <v>396</v>
      </c>
      <c r="L19" s="141">
        <f t="shared" ref="L19:M19" si="1">SUM(L10:L18)</f>
        <v>64500000</v>
      </c>
      <c r="M19" s="141">
        <f t="shared" si="1"/>
        <v>34780000</v>
      </c>
      <c r="N19" s="142">
        <f t="shared" si="0"/>
        <v>29720000</v>
      </c>
      <c r="O19" s="126"/>
    </row>
    <row r="20" spans="1:15" ht="19.5" x14ac:dyDescent="0.55000000000000004">
      <c r="A20" s="123"/>
      <c r="B20" s="143"/>
      <c r="C20" s="143"/>
      <c r="D20" s="143"/>
      <c r="E20" s="143"/>
      <c r="F20" s="143"/>
      <c r="G20" s="143"/>
      <c r="H20" s="143"/>
      <c r="I20" s="143"/>
      <c r="J20" s="123"/>
      <c r="K20" s="123"/>
      <c r="L20" s="123"/>
      <c r="M20" s="123"/>
      <c r="N20" s="123"/>
      <c r="O20" s="123"/>
    </row>
    <row r="21" spans="1:15" ht="28.5" customHeight="1" x14ac:dyDescent="0.2">
      <c r="A21" s="126"/>
      <c r="B21" s="173" t="s">
        <v>397</v>
      </c>
      <c r="C21" s="174"/>
      <c r="D21" s="144"/>
      <c r="E21" s="144"/>
      <c r="F21" s="144"/>
      <c r="G21" s="144"/>
      <c r="H21" s="144"/>
      <c r="I21" s="144"/>
      <c r="J21" s="126"/>
      <c r="K21" s="127" t="s">
        <v>398</v>
      </c>
      <c r="L21" s="127" t="s">
        <v>380</v>
      </c>
      <c r="M21" s="127" t="s">
        <v>381</v>
      </c>
      <c r="N21" s="127" t="s">
        <v>382</v>
      </c>
      <c r="O21" s="126"/>
    </row>
    <row r="22" spans="1:15" ht="25.5" customHeight="1" x14ac:dyDescent="0.55000000000000004">
      <c r="A22" s="123"/>
      <c r="B22" s="144"/>
      <c r="C22" s="145"/>
      <c r="D22" s="145"/>
      <c r="E22" s="144"/>
      <c r="F22" s="144"/>
      <c r="G22" s="144"/>
      <c r="H22" s="144"/>
      <c r="I22" s="144"/>
      <c r="J22" s="123"/>
      <c r="K22" s="146" t="s">
        <v>399</v>
      </c>
      <c r="L22" s="147"/>
      <c r="M22" s="147"/>
      <c r="N22" s="148"/>
      <c r="O22" s="123"/>
    </row>
    <row r="23" spans="1:15" ht="25.5" customHeight="1" x14ac:dyDescent="0.2">
      <c r="A23" s="123"/>
      <c r="B23" s="144"/>
      <c r="C23" s="149" t="s">
        <v>380</v>
      </c>
      <c r="D23" s="150">
        <f>L19</f>
        <v>64500000</v>
      </c>
      <c r="E23" s="144"/>
      <c r="F23" s="144"/>
      <c r="G23" s="144"/>
      <c r="H23" s="144"/>
      <c r="I23" s="144"/>
      <c r="J23" s="123"/>
      <c r="K23" s="131" t="s">
        <v>400</v>
      </c>
      <c r="L23" s="132">
        <f>GETPIVOTDATA("Total",Sheet1!$B$15,"Category","Labour")</f>
        <v>497300</v>
      </c>
      <c r="M23" s="132">
        <v>48000</v>
      </c>
      <c r="N23" s="133">
        <f t="shared" ref="N23:N30" si="2">L23-M23</f>
        <v>449300</v>
      </c>
      <c r="O23" s="123"/>
    </row>
    <row r="24" spans="1:15" ht="25.5" customHeight="1" x14ac:dyDescent="0.2">
      <c r="A24" s="123"/>
      <c r="B24" s="144"/>
      <c r="C24" s="149" t="s">
        <v>381</v>
      </c>
      <c r="D24" s="151">
        <f>M19</f>
        <v>34780000</v>
      </c>
      <c r="E24" s="144"/>
      <c r="F24" s="144"/>
      <c r="G24" s="144"/>
      <c r="H24" s="144"/>
      <c r="I24" s="144"/>
      <c r="J24" s="123"/>
      <c r="K24" s="131" t="s">
        <v>401</v>
      </c>
      <c r="L24" s="132">
        <f>GETPIVOTDATA("Total",Sheet1!$B$15,"Category","Material")</f>
        <v>989735</v>
      </c>
      <c r="M24" s="132">
        <v>32000</v>
      </c>
      <c r="N24" s="133">
        <f t="shared" si="2"/>
        <v>957735</v>
      </c>
      <c r="O24" s="123"/>
    </row>
    <row r="25" spans="1:15" ht="25.5" customHeight="1" x14ac:dyDescent="0.2">
      <c r="A25" s="123"/>
      <c r="B25" s="144"/>
      <c r="C25" s="150"/>
      <c r="D25" s="150"/>
      <c r="E25" s="144"/>
      <c r="F25" s="144"/>
      <c r="G25" s="144"/>
      <c r="H25" s="144"/>
      <c r="I25" s="144"/>
      <c r="J25" s="123"/>
      <c r="K25" s="131" t="s">
        <v>402</v>
      </c>
      <c r="L25" s="132">
        <f>GETPIVOTDATA("Total",Sheet1!$B$15,"Category","Machinery")</f>
        <v>26156</v>
      </c>
      <c r="M25" s="132">
        <v>14000</v>
      </c>
      <c r="N25" s="133">
        <f t="shared" si="2"/>
        <v>12156</v>
      </c>
      <c r="O25" s="123"/>
    </row>
    <row r="26" spans="1:15" ht="25.5" customHeight="1" x14ac:dyDescent="0.2">
      <c r="A26" s="123"/>
      <c r="B26" s="144"/>
      <c r="C26" s="144"/>
      <c r="D26" s="144"/>
      <c r="E26" s="144"/>
      <c r="F26" s="144"/>
      <c r="G26" s="144"/>
      <c r="H26" s="144"/>
      <c r="I26" s="144"/>
      <c r="J26" s="123"/>
      <c r="K26" s="131" t="s">
        <v>403</v>
      </c>
      <c r="L26" s="132">
        <f>GETPIVOTDATA("Total",Sheet1!$B$15,"Category","Sub Contractor")</f>
        <v>106080</v>
      </c>
      <c r="M26" s="132">
        <v>18000</v>
      </c>
      <c r="N26" s="133">
        <f t="shared" si="2"/>
        <v>88080</v>
      </c>
      <c r="O26" s="123"/>
    </row>
    <row r="27" spans="1:15" ht="25.5" customHeight="1" x14ac:dyDescent="0.2">
      <c r="A27" s="123"/>
      <c r="B27" s="144"/>
      <c r="C27" s="144"/>
      <c r="D27" s="144"/>
      <c r="E27" s="144"/>
      <c r="F27" s="144"/>
      <c r="G27" s="144"/>
      <c r="H27" s="144"/>
      <c r="I27" s="144"/>
      <c r="J27" s="123"/>
      <c r="K27" s="131" t="s">
        <v>404</v>
      </c>
      <c r="L27" s="132">
        <f>GETPIVOTDATA("Total",Sheet1!$B$15,"Category","Other")</f>
        <v>3366026</v>
      </c>
      <c r="M27" s="132">
        <v>6000</v>
      </c>
      <c r="N27" s="133">
        <f t="shared" si="2"/>
        <v>3360026</v>
      </c>
      <c r="O27" s="123"/>
    </row>
    <row r="28" spans="1:15" ht="25.5" customHeight="1" x14ac:dyDescent="0.2">
      <c r="A28" s="123"/>
      <c r="B28" s="144"/>
      <c r="C28" s="144"/>
      <c r="D28" s="144"/>
      <c r="E28" s="144"/>
      <c r="F28" s="144"/>
      <c r="G28" s="144"/>
      <c r="H28" s="144"/>
      <c r="I28" s="144"/>
      <c r="J28" s="123"/>
      <c r="K28" s="131"/>
      <c r="L28" s="132"/>
      <c r="M28" s="132"/>
      <c r="N28" s="133">
        <f t="shared" si="2"/>
        <v>0</v>
      </c>
      <c r="O28" s="123"/>
    </row>
    <row r="29" spans="1:15" ht="25.5" customHeight="1" x14ac:dyDescent="0.2">
      <c r="A29" s="123"/>
      <c r="B29" s="144"/>
      <c r="C29" s="144"/>
      <c r="D29" s="144"/>
      <c r="E29" s="144"/>
      <c r="F29" s="144"/>
      <c r="G29" s="144"/>
      <c r="H29" s="144"/>
      <c r="I29" s="144"/>
      <c r="J29" s="123"/>
      <c r="K29" s="131"/>
      <c r="L29" s="132"/>
      <c r="M29" s="132"/>
      <c r="N29" s="133">
        <f t="shared" si="2"/>
        <v>0</v>
      </c>
      <c r="O29" s="123"/>
    </row>
    <row r="30" spans="1:15" ht="25.5" customHeight="1" x14ac:dyDescent="0.55000000000000004">
      <c r="A30" s="123"/>
      <c r="B30" s="143"/>
      <c r="C30" s="143"/>
      <c r="D30" s="143"/>
      <c r="E30" s="143"/>
      <c r="F30" s="143"/>
      <c r="G30" s="143"/>
      <c r="H30" s="143"/>
      <c r="I30" s="143"/>
      <c r="J30" s="123"/>
      <c r="K30" s="131"/>
      <c r="L30" s="132"/>
      <c r="M30" s="132"/>
      <c r="N30" s="133">
        <f t="shared" si="2"/>
        <v>0</v>
      </c>
      <c r="O30" s="123"/>
    </row>
    <row r="31" spans="1:15" ht="25.5" customHeight="1" x14ac:dyDescent="0.2">
      <c r="A31" s="123"/>
      <c r="B31" s="173" t="s">
        <v>405</v>
      </c>
      <c r="C31" s="175"/>
      <c r="D31" s="144"/>
      <c r="E31" s="144"/>
      <c r="F31" s="144"/>
      <c r="G31" s="144"/>
      <c r="H31" s="144"/>
      <c r="I31" s="144"/>
      <c r="J31" s="123"/>
      <c r="K31" s="152" t="s">
        <v>406</v>
      </c>
      <c r="L31" s="153"/>
      <c r="M31" s="153"/>
      <c r="N31" s="154"/>
      <c r="O31" s="123"/>
    </row>
    <row r="32" spans="1:15" ht="25.5" customHeight="1" x14ac:dyDescent="0.2">
      <c r="A32" s="123"/>
      <c r="B32" s="144"/>
      <c r="C32" s="144"/>
      <c r="D32" s="144"/>
      <c r="E32" s="144"/>
      <c r="F32" s="144"/>
      <c r="G32" s="144"/>
      <c r="H32" s="144"/>
      <c r="I32" s="144"/>
      <c r="J32" s="123"/>
      <c r="K32" s="131" t="s">
        <v>407</v>
      </c>
      <c r="L32" s="132">
        <v>10000</v>
      </c>
      <c r="M32" s="155">
        <v>9000</v>
      </c>
      <c r="N32" s="133">
        <f t="shared" ref="N32:N38" si="3">L32-M32</f>
        <v>1000</v>
      </c>
      <c r="O32" s="123"/>
    </row>
    <row r="33" spans="1:15" ht="25.5" customHeight="1" x14ac:dyDescent="0.2">
      <c r="A33" s="123"/>
      <c r="B33" s="144"/>
      <c r="C33" s="144"/>
      <c r="D33" s="144"/>
      <c r="E33" s="144"/>
      <c r="F33" s="144"/>
      <c r="G33" s="144"/>
      <c r="H33" s="144"/>
      <c r="I33" s="144"/>
      <c r="J33" s="123"/>
      <c r="K33" s="131" t="s">
        <v>408</v>
      </c>
      <c r="L33" s="129">
        <v>8000</v>
      </c>
      <c r="M33" s="156">
        <v>7500</v>
      </c>
      <c r="N33" s="133">
        <f t="shared" si="3"/>
        <v>500</v>
      </c>
      <c r="O33" s="123"/>
    </row>
    <row r="34" spans="1:15" ht="25.5" customHeight="1" x14ac:dyDescent="0.2">
      <c r="A34" s="123"/>
      <c r="B34" s="144"/>
      <c r="C34" s="151"/>
      <c r="D34" s="151"/>
      <c r="E34" s="151"/>
      <c r="F34" s="144"/>
      <c r="G34" s="144"/>
      <c r="H34" s="144"/>
      <c r="I34" s="144"/>
      <c r="J34" s="123"/>
      <c r="K34" s="131" t="s">
        <v>409</v>
      </c>
      <c r="L34" s="129">
        <v>3000</v>
      </c>
      <c r="M34" s="156">
        <v>3200</v>
      </c>
      <c r="N34" s="133">
        <f t="shared" si="3"/>
        <v>-200</v>
      </c>
      <c r="O34" s="123"/>
    </row>
    <row r="35" spans="1:15" ht="25.5" customHeight="1" x14ac:dyDescent="0.2">
      <c r="A35" s="123"/>
      <c r="B35" s="144"/>
      <c r="C35" s="149" t="s">
        <v>380</v>
      </c>
      <c r="D35" s="151">
        <f>L39</f>
        <v>5008297</v>
      </c>
      <c r="E35" s="151"/>
      <c r="F35" s="144"/>
      <c r="G35" s="144"/>
      <c r="H35" s="144"/>
      <c r="I35" s="144"/>
      <c r="J35" s="123"/>
      <c r="K35" s="131" t="s">
        <v>410</v>
      </c>
      <c r="L35" s="129">
        <v>2000</v>
      </c>
      <c r="M35" s="156">
        <v>1800</v>
      </c>
      <c r="N35" s="133">
        <f t="shared" si="3"/>
        <v>200</v>
      </c>
      <c r="O35" s="123"/>
    </row>
    <row r="36" spans="1:15" ht="25.5" customHeight="1" x14ac:dyDescent="0.2">
      <c r="A36" s="123"/>
      <c r="B36" s="144"/>
      <c r="C36" s="149" t="s">
        <v>381</v>
      </c>
      <c r="D36" s="151">
        <f>M39</f>
        <v>139500</v>
      </c>
      <c r="E36" s="151"/>
      <c r="F36" s="144"/>
      <c r="G36" s="144"/>
      <c r="H36" s="144"/>
      <c r="I36" s="144"/>
      <c r="J36" s="123"/>
      <c r="K36" s="131"/>
      <c r="L36" s="129"/>
      <c r="M36" s="156"/>
      <c r="N36" s="133">
        <f t="shared" si="3"/>
        <v>0</v>
      </c>
      <c r="O36" s="123"/>
    </row>
    <row r="37" spans="1:15" ht="25.5" customHeight="1" x14ac:dyDescent="0.2">
      <c r="A37" s="123"/>
      <c r="B37" s="144"/>
      <c r="C37" s="151"/>
      <c r="D37" s="151"/>
      <c r="E37" s="151"/>
      <c r="F37" s="144"/>
      <c r="G37" s="144"/>
      <c r="H37" s="144"/>
      <c r="I37" s="144"/>
      <c r="J37" s="123"/>
      <c r="K37" s="131"/>
      <c r="L37" s="129"/>
      <c r="M37" s="156"/>
      <c r="N37" s="133">
        <f t="shared" si="3"/>
        <v>0</v>
      </c>
      <c r="O37" s="123"/>
    </row>
    <row r="38" spans="1:15" ht="25.5" customHeight="1" x14ac:dyDescent="0.2">
      <c r="A38" s="123"/>
      <c r="B38" s="157"/>
      <c r="C38" s="158"/>
      <c r="D38" s="158"/>
      <c r="E38" s="158"/>
      <c r="F38" s="157"/>
      <c r="G38" s="157"/>
      <c r="H38" s="157"/>
      <c r="I38" s="157"/>
      <c r="J38" s="123"/>
      <c r="K38" s="131"/>
      <c r="L38" s="132"/>
      <c r="M38" s="132"/>
      <c r="N38" s="133">
        <f t="shared" si="3"/>
        <v>0</v>
      </c>
      <c r="O38" s="123"/>
    </row>
    <row r="39" spans="1:15" ht="31.5" customHeight="1" x14ac:dyDescent="0.2">
      <c r="A39" s="126"/>
      <c r="B39" s="157"/>
      <c r="C39" s="158"/>
      <c r="D39" s="158"/>
      <c r="E39" s="158"/>
      <c r="F39" s="157"/>
      <c r="G39" s="157"/>
      <c r="H39" s="157"/>
      <c r="I39" s="157"/>
      <c r="J39" s="126"/>
      <c r="K39" s="140" t="s">
        <v>411</v>
      </c>
      <c r="L39" s="141">
        <f t="shared" ref="L39:N39" si="4">SUM(L23:L38)</f>
        <v>5008297</v>
      </c>
      <c r="M39" s="141">
        <f t="shared" si="4"/>
        <v>139500</v>
      </c>
      <c r="N39" s="141">
        <f t="shared" si="4"/>
        <v>4868797</v>
      </c>
      <c r="O39" s="126"/>
    </row>
    <row r="40" spans="1:15" ht="19.5" x14ac:dyDescent="0.2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</row>
    <row r="41" spans="1:15" ht="19.5" x14ac:dyDescent="0.2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</row>
    <row r="42" spans="1:15" ht="19.5" x14ac:dyDescent="0.2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</row>
  </sheetData>
  <mergeCells count="24">
    <mergeCell ref="B9:H9"/>
    <mergeCell ref="E2:G2"/>
    <mergeCell ref="H2:N5"/>
    <mergeCell ref="E3:G3"/>
    <mergeCell ref="E4:G4"/>
    <mergeCell ref="E5:G5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6:C17"/>
    <mergeCell ref="E16:F17"/>
    <mergeCell ref="H16:I17"/>
    <mergeCell ref="B18:C19"/>
    <mergeCell ref="E18:F19"/>
    <mergeCell ref="H18:I19"/>
    <mergeCell ref="B21:C21"/>
    <mergeCell ref="B31:C31"/>
  </mergeCells>
  <conditionalFormatting sqref="N31:N38">
    <cfRule type="cellIs" dxfId="1" priority="1" operator="between">
      <formula>$M$27</formula>
      <formula>2519970</formula>
    </cfRule>
    <cfRule type="cellIs" dxfId="0" priority="2" operator="greaterThan">
      <formula>1679913</formula>
    </cfRule>
  </conditionalFormatting>
  <hyperlinks>
    <hyperlink ref="E3" r:id="rId1" xr:uid="{00000000-0004-0000-0000-000000000000}"/>
    <hyperlink ref="E2" r:id="rId2" xr:uid="{00000000-0004-0000-0000-000001000000}"/>
  </hyperlinks>
  <printOptions horizontalCentered="1" verticalCentered="1"/>
  <pageMargins left="0.37" right="0.28999999999999998" top="0.36" bottom="0.41" header="0.17" footer="0.18"/>
  <pageSetup scale="60" orientation="landscape" r:id="rId3"/>
  <drawing r:id="rId4"/>
  <legacyDrawing r:id="rId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00000000-0002-0000-0000-000000000000}">
          <x14:formula1>
            <xm:f>'G:\My Drive\Vega\Construction_Accounting_Template\[Construction-Accounting-Template+(1) (1).xlsx]Project Details'!#REF!</xm:f>
          </x14:formula1>
          <xm:sqref>D10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5:I96"/>
  <sheetViews>
    <sheetView topLeftCell="A7" zoomScaleNormal="100" workbookViewId="0">
      <selection activeCell="A34" sqref="A34"/>
    </sheetView>
  </sheetViews>
  <sheetFormatPr defaultRowHeight="15.75" x14ac:dyDescent="0.25"/>
  <cols>
    <col min="1" max="1" width="9.140625" style="160"/>
    <col min="2" max="2" width="38.28515625" style="160" bestFit="1" customWidth="1"/>
    <col min="3" max="3" width="21.7109375" style="160" bestFit="1" customWidth="1"/>
    <col min="4" max="4" width="13.42578125" style="160" bestFit="1" customWidth="1"/>
    <col min="5" max="5" width="14.85546875" style="160" bestFit="1" customWidth="1"/>
    <col min="6" max="6" width="19.140625" style="160" bestFit="1" customWidth="1"/>
    <col min="7" max="7" width="14.85546875" style="160" bestFit="1" customWidth="1"/>
    <col min="8" max="8" width="17.28515625" style="160" bestFit="1" customWidth="1"/>
    <col min="9" max="9" width="16.85546875" style="160" bestFit="1" customWidth="1"/>
    <col min="10" max="11" width="11.7109375" style="160" bestFit="1" customWidth="1"/>
    <col min="12" max="12" width="10.42578125" style="160" bestFit="1" customWidth="1"/>
    <col min="13" max="13" width="13.5703125" style="160" bestFit="1" customWidth="1"/>
    <col min="14" max="14" width="14.28515625" style="160" bestFit="1" customWidth="1"/>
    <col min="15" max="16" width="11.7109375" style="160" bestFit="1" customWidth="1"/>
    <col min="17" max="16384" width="9.140625" style="160"/>
  </cols>
  <sheetData>
    <row r="15" spans="2:9" ht="30.75" customHeight="1" x14ac:dyDescent="0.25">
      <c r="B15" s="159" t="s">
        <v>375</v>
      </c>
      <c r="C15" s="159" t="s">
        <v>417</v>
      </c>
    </row>
    <row r="16" spans="2:9" x14ac:dyDescent="0.25">
      <c r="B16" s="161" t="s">
        <v>373</v>
      </c>
      <c r="C16" s="162" t="s">
        <v>356</v>
      </c>
      <c r="D16" s="162" t="s">
        <v>340</v>
      </c>
      <c r="E16" s="162" t="s">
        <v>247</v>
      </c>
      <c r="F16" s="162" t="s">
        <v>358</v>
      </c>
      <c r="G16" s="162" t="s">
        <v>357</v>
      </c>
      <c r="H16" s="162" t="s">
        <v>418</v>
      </c>
      <c r="I16" s="162" t="s">
        <v>374</v>
      </c>
    </row>
    <row r="17" spans="2:9" x14ac:dyDescent="0.25">
      <c r="B17" s="163" t="s">
        <v>60</v>
      </c>
      <c r="C17" s="164"/>
      <c r="D17" s="164"/>
      <c r="E17" s="164">
        <v>28500</v>
      </c>
      <c r="F17" s="164"/>
      <c r="G17" s="164"/>
      <c r="H17" s="164">
        <v>8500</v>
      </c>
      <c r="I17" s="164">
        <v>37000</v>
      </c>
    </row>
    <row r="18" spans="2:9" x14ac:dyDescent="0.25">
      <c r="B18" s="163" t="s">
        <v>217</v>
      </c>
      <c r="C18" s="164"/>
      <c r="D18" s="164"/>
      <c r="E18" s="164"/>
      <c r="F18" s="164"/>
      <c r="G18" s="164"/>
      <c r="H18" s="164">
        <v>1190</v>
      </c>
      <c r="I18" s="164">
        <v>1190</v>
      </c>
    </row>
    <row r="19" spans="2:9" x14ac:dyDescent="0.25">
      <c r="B19" s="163" t="s">
        <v>206</v>
      </c>
      <c r="C19" s="164"/>
      <c r="D19" s="164"/>
      <c r="E19" s="164"/>
      <c r="F19" s="164"/>
      <c r="G19" s="164"/>
      <c r="H19" s="164">
        <v>21450</v>
      </c>
      <c r="I19" s="164">
        <v>21450</v>
      </c>
    </row>
    <row r="20" spans="2:9" x14ac:dyDescent="0.25">
      <c r="B20" s="163" t="s">
        <v>314</v>
      </c>
      <c r="C20" s="164"/>
      <c r="D20" s="164"/>
      <c r="E20" s="164"/>
      <c r="F20" s="164"/>
      <c r="G20" s="164"/>
      <c r="H20" s="164">
        <v>4500</v>
      </c>
      <c r="I20" s="164">
        <v>4500</v>
      </c>
    </row>
    <row r="21" spans="2:9" x14ac:dyDescent="0.25">
      <c r="B21" s="163" t="s">
        <v>16</v>
      </c>
      <c r="C21" s="164">
        <v>305800</v>
      </c>
      <c r="D21" s="164"/>
      <c r="E21" s="164"/>
      <c r="F21" s="164"/>
      <c r="G21" s="164"/>
      <c r="H21" s="164">
        <v>900778</v>
      </c>
      <c r="I21" s="164">
        <v>1206578</v>
      </c>
    </row>
    <row r="22" spans="2:9" x14ac:dyDescent="0.25">
      <c r="B22" s="163" t="s">
        <v>241</v>
      </c>
      <c r="C22" s="164">
        <v>61000</v>
      </c>
      <c r="D22" s="164"/>
      <c r="E22" s="164"/>
      <c r="F22" s="164"/>
      <c r="G22" s="164"/>
      <c r="H22" s="164"/>
      <c r="I22" s="164">
        <v>61000</v>
      </c>
    </row>
    <row r="23" spans="2:9" x14ac:dyDescent="0.25">
      <c r="B23" s="163" t="s">
        <v>215</v>
      </c>
      <c r="C23" s="164"/>
      <c r="D23" s="164"/>
      <c r="E23" s="164"/>
      <c r="F23" s="164"/>
      <c r="G23" s="164"/>
      <c r="H23" s="164">
        <v>90230</v>
      </c>
      <c r="I23" s="164">
        <v>90230</v>
      </c>
    </row>
    <row r="24" spans="2:9" x14ac:dyDescent="0.25">
      <c r="B24" s="163" t="s">
        <v>219</v>
      </c>
      <c r="C24" s="164"/>
      <c r="D24" s="164"/>
      <c r="E24" s="164"/>
      <c r="F24" s="164"/>
      <c r="G24" s="164"/>
      <c r="H24" s="164">
        <v>800</v>
      </c>
      <c r="I24" s="164">
        <v>800</v>
      </c>
    </row>
    <row r="25" spans="2:9" x14ac:dyDescent="0.25">
      <c r="B25" s="163" t="s">
        <v>153</v>
      </c>
      <c r="C25" s="164"/>
      <c r="D25" s="164"/>
      <c r="E25" s="164"/>
      <c r="F25" s="164"/>
      <c r="G25" s="164"/>
      <c r="H25" s="164">
        <v>99000</v>
      </c>
      <c r="I25" s="164">
        <v>99000</v>
      </c>
    </row>
    <row r="26" spans="2:9" x14ac:dyDescent="0.25">
      <c r="B26" s="163" t="s">
        <v>76</v>
      </c>
      <c r="C26" s="164"/>
      <c r="D26" s="164"/>
      <c r="E26" s="164">
        <v>2150</v>
      </c>
      <c r="F26" s="164"/>
      <c r="G26" s="164"/>
      <c r="H26" s="164">
        <v>181651</v>
      </c>
      <c r="I26" s="164">
        <v>183801</v>
      </c>
    </row>
    <row r="27" spans="2:9" x14ac:dyDescent="0.25">
      <c r="B27" s="163" t="s">
        <v>316</v>
      </c>
      <c r="C27" s="164"/>
      <c r="D27" s="164"/>
      <c r="E27" s="164"/>
      <c r="F27" s="164"/>
      <c r="G27" s="164"/>
      <c r="H27" s="164">
        <v>1500</v>
      </c>
      <c r="I27" s="164">
        <v>1500</v>
      </c>
    </row>
    <row r="28" spans="2:9" x14ac:dyDescent="0.25">
      <c r="B28" s="163" t="s">
        <v>8</v>
      </c>
      <c r="C28" s="164"/>
      <c r="D28" s="164"/>
      <c r="E28" s="164">
        <v>10780</v>
      </c>
      <c r="F28" s="164"/>
      <c r="G28" s="164"/>
      <c r="H28" s="164">
        <v>75300</v>
      </c>
      <c r="I28" s="164">
        <v>86080</v>
      </c>
    </row>
    <row r="29" spans="2:9" x14ac:dyDescent="0.25">
      <c r="B29" s="163" t="s">
        <v>56</v>
      </c>
      <c r="C29" s="164"/>
      <c r="D29" s="164"/>
      <c r="E29" s="164">
        <v>12600</v>
      </c>
      <c r="F29" s="164"/>
      <c r="G29" s="164"/>
      <c r="H29" s="164"/>
      <c r="I29" s="164">
        <v>12600</v>
      </c>
    </row>
    <row r="30" spans="2:9" x14ac:dyDescent="0.25">
      <c r="B30" s="163" t="s">
        <v>85</v>
      </c>
      <c r="C30" s="164"/>
      <c r="D30" s="164"/>
      <c r="E30" s="164">
        <v>43580</v>
      </c>
      <c r="F30" s="164"/>
      <c r="G30" s="164"/>
      <c r="H30" s="164"/>
      <c r="I30" s="164">
        <v>43580</v>
      </c>
    </row>
    <row r="31" spans="2:9" x14ac:dyDescent="0.25">
      <c r="B31" s="163" t="s">
        <v>95</v>
      </c>
      <c r="C31" s="164"/>
      <c r="D31" s="164"/>
      <c r="E31" s="164">
        <v>6880</v>
      </c>
      <c r="F31" s="164"/>
      <c r="G31" s="164"/>
      <c r="H31" s="164">
        <v>2250</v>
      </c>
      <c r="I31" s="164">
        <v>9130</v>
      </c>
    </row>
    <row r="32" spans="2:9" x14ac:dyDescent="0.25">
      <c r="B32" s="163" t="s">
        <v>27</v>
      </c>
      <c r="C32" s="164"/>
      <c r="D32" s="164"/>
      <c r="E32" s="164">
        <v>4510</v>
      </c>
      <c r="F32" s="164"/>
      <c r="G32" s="164"/>
      <c r="H32" s="164">
        <v>27240</v>
      </c>
      <c r="I32" s="164">
        <v>31750</v>
      </c>
    </row>
    <row r="33" spans="2:9" x14ac:dyDescent="0.25">
      <c r="B33" s="163" t="s">
        <v>70</v>
      </c>
      <c r="C33" s="164"/>
      <c r="D33" s="164"/>
      <c r="E33" s="164"/>
      <c r="F33" s="164">
        <v>17500</v>
      </c>
      <c r="G33" s="164"/>
      <c r="H33" s="164">
        <v>50000</v>
      </c>
      <c r="I33" s="164">
        <v>67500</v>
      </c>
    </row>
    <row r="34" spans="2:9" x14ac:dyDescent="0.25">
      <c r="B34" s="163" t="s">
        <v>82</v>
      </c>
      <c r="C34" s="164"/>
      <c r="D34" s="164"/>
      <c r="E34" s="164"/>
      <c r="F34" s="164">
        <v>34500</v>
      </c>
      <c r="G34" s="164"/>
      <c r="H34" s="164"/>
      <c r="I34" s="164">
        <v>34500</v>
      </c>
    </row>
    <row r="35" spans="2:9" x14ac:dyDescent="0.25">
      <c r="B35" s="163" t="s">
        <v>225</v>
      </c>
      <c r="C35" s="164"/>
      <c r="D35" s="164"/>
      <c r="E35" s="164"/>
      <c r="F35" s="164"/>
      <c r="G35" s="164"/>
      <c r="H35" s="164">
        <v>1710</v>
      </c>
      <c r="I35" s="164">
        <v>1710</v>
      </c>
    </row>
    <row r="36" spans="2:9" x14ac:dyDescent="0.25">
      <c r="B36" s="163" t="s">
        <v>89</v>
      </c>
      <c r="C36" s="164"/>
      <c r="D36" s="164">
        <v>13500</v>
      </c>
      <c r="E36" s="164"/>
      <c r="F36" s="164"/>
      <c r="G36" s="164"/>
      <c r="H36" s="164"/>
      <c r="I36" s="164">
        <v>13500</v>
      </c>
    </row>
    <row r="37" spans="2:9" x14ac:dyDescent="0.25">
      <c r="B37" s="163" t="s">
        <v>134</v>
      </c>
      <c r="C37" s="164"/>
      <c r="D37" s="164"/>
      <c r="E37" s="164">
        <v>5750</v>
      </c>
      <c r="F37" s="164"/>
      <c r="G37" s="164"/>
      <c r="H37" s="164">
        <v>71542</v>
      </c>
      <c r="I37" s="164">
        <v>77292</v>
      </c>
    </row>
    <row r="38" spans="2:9" x14ac:dyDescent="0.25">
      <c r="B38" s="163" t="s">
        <v>31</v>
      </c>
      <c r="C38" s="164"/>
      <c r="D38" s="164"/>
      <c r="E38" s="164"/>
      <c r="F38" s="164">
        <v>2520</v>
      </c>
      <c r="G38" s="164"/>
      <c r="H38" s="164"/>
      <c r="I38" s="164">
        <v>2520</v>
      </c>
    </row>
    <row r="39" spans="2:9" x14ac:dyDescent="0.25">
      <c r="B39" s="163" t="s">
        <v>267</v>
      </c>
      <c r="C39" s="164"/>
      <c r="D39" s="164"/>
      <c r="E39" s="164"/>
      <c r="F39" s="164"/>
      <c r="G39" s="164"/>
      <c r="H39" s="164">
        <v>650</v>
      </c>
      <c r="I39" s="164">
        <v>650</v>
      </c>
    </row>
    <row r="40" spans="2:9" x14ac:dyDescent="0.25">
      <c r="B40" s="163" t="s">
        <v>142</v>
      </c>
      <c r="C40" s="164"/>
      <c r="D40" s="164"/>
      <c r="E40" s="164"/>
      <c r="F40" s="164"/>
      <c r="G40" s="164"/>
      <c r="H40" s="164">
        <v>23200</v>
      </c>
      <c r="I40" s="164">
        <v>23200</v>
      </c>
    </row>
    <row r="41" spans="2:9" x14ac:dyDescent="0.25">
      <c r="B41" s="163" t="s">
        <v>124</v>
      </c>
      <c r="C41" s="164">
        <v>29000</v>
      </c>
      <c r="D41" s="164"/>
      <c r="E41" s="164"/>
      <c r="F41" s="164"/>
      <c r="G41" s="164"/>
      <c r="H41" s="164"/>
      <c r="I41" s="164">
        <v>29000</v>
      </c>
    </row>
    <row r="42" spans="2:9" x14ac:dyDescent="0.25">
      <c r="B42" s="163" t="s">
        <v>107</v>
      </c>
      <c r="C42" s="164">
        <v>5800</v>
      </c>
      <c r="D42" s="164"/>
      <c r="E42" s="164"/>
      <c r="F42" s="164"/>
      <c r="G42" s="164"/>
      <c r="H42" s="164"/>
      <c r="I42" s="164">
        <v>5800</v>
      </c>
    </row>
    <row r="43" spans="2:9" x14ac:dyDescent="0.25">
      <c r="B43" s="163" t="s">
        <v>302</v>
      </c>
      <c r="C43" s="164"/>
      <c r="D43" s="164"/>
      <c r="E43" s="164"/>
      <c r="F43" s="164"/>
      <c r="G43" s="164"/>
      <c r="H43" s="164">
        <v>10250</v>
      </c>
      <c r="I43" s="164">
        <v>10250</v>
      </c>
    </row>
    <row r="44" spans="2:9" x14ac:dyDescent="0.25">
      <c r="B44" s="163" t="s">
        <v>138</v>
      </c>
      <c r="C44" s="164"/>
      <c r="D44" s="164"/>
      <c r="E44" s="164"/>
      <c r="F44" s="164"/>
      <c r="G44" s="164"/>
      <c r="H44" s="164">
        <v>10800</v>
      </c>
      <c r="I44" s="164">
        <v>10800</v>
      </c>
    </row>
    <row r="45" spans="2:9" x14ac:dyDescent="0.25">
      <c r="B45" s="163" t="s">
        <v>146</v>
      </c>
      <c r="C45" s="164"/>
      <c r="D45" s="164"/>
      <c r="E45" s="164"/>
      <c r="F45" s="164"/>
      <c r="G45" s="164"/>
      <c r="H45" s="164">
        <v>4330</v>
      </c>
      <c r="I45" s="164">
        <v>4330</v>
      </c>
    </row>
    <row r="46" spans="2:9" x14ac:dyDescent="0.25">
      <c r="B46" s="163" t="s">
        <v>309</v>
      </c>
      <c r="C46" s="164"/>
      <c r="D46" s="164"/>
      <c r="E46" s="164"/>
      <c r="F46" s="164"/>
      <c r="G46" s="164"/>
      <c r="H46" s="164">
        <v>71218</v>
      </c>
      <c r="I46" s="164">
        <v>71218</v>
      </c>
    </row>
    <row r="47" spans="2:9" x14ac:dyDescent="0.25">
      <c r="B47" s="163" t="s">
        <v>64</v>
      </c>
      <c r="C47" s="164"/>
      <c r="D47" s="164">
        <v>12656</v>
      </c>
      <c r="E47" s="164"/>
      <c r="F47" s="164"/>
      <c r="G47" s="164"/>
      <c r="H47" s="164">
        <v>100000</v>
      </c>
      <c r="I47" s="164">
        <v>112656</v>
      </c>
    </row>
    <row r="48" spans="2:9" x14ac:dyDescent="0.25">
      <c r="B48" s="163" t="s">
        <v>130</v>
      </c>
      <c r="C48" s="164"/>
      <c r="D48" s="164"/>
      <c r="E48" s="164">
        <v>38400</v>
      </c>
      <c r="F48" s="164"/>
      <c r="G48" s="164"/>
      <c r="H48" s="164"/>
      <c r="I48" s="164">
        <v>38400</v>
      </c>
    </row>
    <row r="49" spans="2:9" x14ac:dyDescent="0.25">
      <c r="B49" s="163" t="s">
        <v>93</v>
      </c>
      <c r="C49" s="164"/>
      <c r="D49" s="164"/>
      <c r="E49" s="164">
        <v>1000</v>
      </c>
      <c r="F49" s="164"/>
      <c r="G49" s="164"/>
      <c r="H49" s="164"/>
      <c r="I49" s="164">
        <v>1000</v>
      </c>
    </row>
    <row r="50" spans="2:9" x14ac:dyDescent="0.25">
      <c r="B50" s="163" t="s">
        <v>296</v>
      </c>
      <c r="C50" s="164"/>
      <c r="D50" s="164"/>
      <c r="E50" s="164"/>
      <c r="F50" s="164"/>
      <c r="G50" s="164"/>
      <c r="H50" s="164">
        <v>1150</v>
      </c>
      <c r="I50" s="164">
        <v>1150</v>
      </c>
    </row>
    <row r="51" spans="2:9" x14ac:dyDescent="0.25">
      <c r="B51" s="163" t="s">
        <v>14</v>
      </c>
      <c r="C51" s="164"/>
      <c r="D51" s="164"/>
      <c r="E51" s="164">
        <v>286005</v>
      </c>
      <c r="F51" s="164"/>
      <c r="G51" s="164"/>
      <c r="H51" s="164">
        <v>90972</v>
      </c>
      <c r="I51" s="164">
        <v>376977</v>
      </c>
    </row>
    <row r="52" spans="2:9" x14ac:dyDescent="0.25">
      <c r="B52" s="163" t="s">
        <v>274</v>
      </c>
      <c r="C52" s="164"/>
      <c r="D52" s="164"/>
      <c r="E52" s="164"/>
      <c r="F52" s="164"/>
      <c r="G52" s="164"/>
      <c r="H52" s="164">
        <v>15000</v>
      </c>
      <c r="I52" s="164">
        <v>15000</v>
      </c>
    </row>
    <row r="53" spans="2:9" x14ac:dyDescent="0.25">
      <c r="B53" s="163" t="s">
        <v>112</v>
      </c>
      <c r="C53" s="164"/>
      <c r="D53" s="164"/>
      <c r="E53" s="164">
        <v>3880</v>
      </c>
      <c r="F53" s="164"/>
      <c r="G53" s="164"/>
      <c r="H53" s="164"/>
      <c r="I53" s="164">
        <v>3880</v>
      </c>
    </row>
    <row r="54" spans="2:9" x14ac:dyDescent="0.25">
      <c r="B54" s="163" t="s">
        <v>12</v>
      </c>
      <c r="C54" s="164"/>
      <c r="D54" s="164"/>
      <c r="E54" s="164"/>
      <c r="F54" s="164"/>
      <c r="G54" s="164">
        <v>5000</v>
      </c>
      <c r="H54" s="164"/>
      <c r="I54" s="164">
        <v>5000</v>
      </c>
    </row>
    <row r="55" spans="2:9" x14ac:dyDescent="0.25">
      <c r="B55" s="163" t="s">
        <v>35</v>
      </c>
      <c r="C55" s="164"/>
      <c r="D55" s="164"/>
      <c r="E55" s="164"/>
      <c r="F55" s="164">
        <v>44000</v>
      </c>
      <c r="G55" s="164"/>
      <c r="H55" s="164"/>
      <c r="I55" s="164">
        <v>44000</v>
      </c>
    </row>
    <row r="56" spans="2:9" x14ac:dyDescent="0.25">
      <c r="B56" s="163" t="s">
        <v>32</v>
      </c>
      <c r="C56" s="164"/>
      <c r="D56" s="164"/>
      <c r="E56" s="164"/>
      <c r="F56" s="164">
        <v>1000</v>
      </c>
      <c r="G56" s="164"/>
      <c r="H56" s="164"/>
      <c r="I56" s="164">
        <v>1000</v>
      </c>
    </row>
    <row r="57" spans="2:9" x14ac:dyDescent="0.25">
      <c r="B57" s="163" t="s">
        <v>38</v>
      </c>
      <c r="C57" s="164"/>
      <c r="D57" s="164"/>
      <c r="E57" s="164"/>
      <c r="F57" s="164">
        <v>1560</v>
      </c>
      <c r="G57" s="164"/>
      <c r="H57" s="164"/>
      <c r="I57" s="164">
        <v>1560</v>
      </c>
    </row>
    <row r="58" spans="2:9" x14ac:dyDescent="0.25">
      <c r="B58" s="163" t="s">
        <v>33</v>
      </c>
      <c r="C58" s="164"/>
      <c r="D58" s="164"/>
      <c r="E58" s="164"/>
      <c r="F58" s="164">
        <v>5000</v>
      </c>
      <c r="G58" s="164"/>
      <c r="H58" s="164"/>
      <c r="I58" s="164">
        <v>5000</v>
      </c>
    </row>
    <row r="59" spans="2:9" x14ac:dyDescent="0.25">
      <c r="B59" s="163" t="s">
        <v>29</v>
      </c>
      <c r="C59" s="164"/>
      <c r="D59" s="164"/>
      <c r="E59" s="164">
        <v>700</v>
      </c>
      <c r="F59" s="164"/>
      <c r="G59" s="164"/>
      <c r="H59" s="164"/>
      <c r="I59" s="164">
        <v>700</v>
      </c>
    </row>
    <row r="60" spans="2:9" x14ac:dyDescent="0.25">
      <c r="B60" s="163" t="s">
        <v>148</v>
      </c>
      <c r="C60" s="164"/>
      <c r="D60" s="164"/>
      <c r="E60" s="164"/>
      <c r="F60" s="164"/>
      <c r="G60" s="164"/>
      <c r="H60" s="164">
        <v>7000</v>
      </c>
      <c r="I60" s="164">
        <v>7000</v>
      </c>
    </row>
    <row r="61" spans="2:9" x14ac:dyDescent="0.25">
      <c r="B61" s="163" t="s">
        <v>45</v>
      </c>
      <c r="C61" s="164">
        <v>1000</v>
      </c>
      <c r="D61" s="164"/>
      <c r="E61" s="164"/>
      <c r="F61" s="164"/>
      <c r="G61" s="164"/>
      <c r="H61" s="164">
        <v>5000</v>
      </c>
      <c r="I61" s="164">
        <v>6000</v>
      </c>
    </row>
    <row r="62" spans="2:9" x14ac:dyDescent="0.25">
      <c r="B62" s="163" t="s">
        <v>41</v>
      </c>
      <c r="C62" s="164">
        <v>85700</v>
      </c>
      <c r="D62" s="164"/>
      <c r="E62" s="164"/>
      <c r="F62" s="164"/>
      <c r="G62" s="164"/>
      <c r="H62" s="164">
        <v>20900</v>
      </c>
      <c r="I62" s="164">
        <v>106600</v>
      </c>
    </row>
    <row r="63" spans="2:9" x14ac:dyDescent="0.25">
      <c r="B63" s="163" t="s">
        <v>260</v>
      </c>
      <c r="C63" s="164"/>
      <c r="D63" s="164"/>
      <c r="E63" s="164"/>
      <c r="F63" s="164"/>
      <c r="G63" s="164"/>
      <c r="H63" s="164">
        <v>75000</v>
      </c>
      <c r="I63" s="164">
        <v>75000</v>
      </c>
    </row>
    <row r="64" spans="2:9" x14ac:dyDescent="0.25">
      <c r="B64" s="163" t="s">
        <v>254</v>
      </c>
      <c r="C64" s="164"/>
      <c r="D64" s="164"/>
      <c r="E64" s="164"/>
      <c r="F64" s="164"/>
      <c r="G64" s="164"/>
      <c r="H64" s="164">
        <v>1200</v>
      </c>
      <c r="I64" s="164">
        <v>1200</v>
      </c>
    </row>
    <row r="65" spans="2:9" x14ac:dyDescent="0.25">
      <c r="B65" s="163" t="s">
        <v>52</v>
      </c>
      <c r="C65" s="164">
        <v>1000</v>
      </c>
      <c r="D65" s="164"/>
      <c r="E65" s="164"/>
      <c r="F65" s="164"/>
      <c r="G65" s="164"/>
      <c r="H65" s="164"/>
      <c r="I65" s="164">
        <v>1000</v>
      </c>
    </row>
    <row r="66" spans="2:9" x14ac:dyDescent="0.25">
      <c r="B66" s="163" t="s">
        <v>200</v>
      </c>
      <c r="C66" s="164"/>
      <c r="D66" s="164"/>
      <c r="E66" s="164"/>
      <c r="F66" s="164"/>
      <c r="G66" s="164"/>
      <c r="H66" s="164">
        <v>29000</v>
      </c>
      <c r="I66" s="164">
        <v>29000</v>
      </c>
    </row>
    <row r="67" spans="2:9" x14ac:dyDescent="0.25">
      <c r="B67" s="163" t="s">
        <v>22</v>
      </c>
      <c r="C67" s="164">
        <v>8000</v>
      </c>
      <c r="D67" s="164"/>
      <c r="E67" s="164"/>
      <c r="F67" s="164"/>
      <c r="G67" s="164"/>
      <c r="H67" s="164"/>
      <c r="I67" s="164">
        <v>8000</v>
      </c>
    </row>
    <row r="68" spans="2:9" x14ac:dyDescent="0.25">
      <c r="B68" s="163" t="s">
        <v>304</v>
      </c>
      <c r="C68" s="164"/>
      <c r="D68" s="164"/>
      <c r="E68" s="164"/>
      <c r="F68" s="164"/>
      <c r="G68" s="164"/>
      <c r="H68" s="164">
        <v>118300</v>
      </c>
      <c r="I68" s="164">
        <v>118300</v>
      </c>
    </row>
    <row r="69" spans="2:9" x14ac:dyDescent="0.25">
      <c r="B69" s="163" t="s">
        <v>300</v>
      </c>
      <c r="C69" s="164"/>
      <c r="D69" s="164"/>
      <c r="E69" s="164"/>
      <c r="F69" s="164"/>
      <c r="G69" s="164"/>
      <c r="H69" s="164">
        <v>3600</v>
      </c>
      <c r="I69" s="164">
        <v>3600</v>
      </c>
    </row>
    <row r="70" spans="2:9" x14ac:dyDescent="0.25">
      <c r="B70" s="163" t="s">
        <v>230</v>
      </c>
      <c r="C70" s="164"/>
      <c r="D70" s="164"/>
      <c r="E70" s="164"/>
      <c r="F70" s="164"/>
      <c r="G70" s="164"/>
      <c r="H70" s="164">
        <v>2000</v>
      </c>
      <c r="I70" s="164">
        <v>2000</v>
      </c>
    </row>
    <row r="71" spans="2:9" x14ac:dyDescent="0.25">
      <c r="B71" s="163" t="s">
        <v>58</v>
      </c>
      <c r="C71" s="164"/>
      <c r="D71" s="164"/>
      <c r="E71" s="164">
        <v>45000</v>
      </c>
      <c r="F71" s="164"/>
      <c r="G71" s="164"/>
      <c r="H71" s="164">
        <v>69500</v>
      </c>
      <c r="I71" s="164">
        <v>114500</v>
      </c>
    </row>
    <row r="72" spans="2:9" x14ac:dyDescent="0.25">
      <c r="B72" s="163" t="s">
        <v>169</v>
      </c>
      <c r="C72" s="164"/>
      <c r="D72" s="164"/>
      <c r="E72" s="164"/>
      <c r="F72" s="164"/>
      <c r="G72" s="164"/>
      <c r="H72" s="164">
        <v>90000</v>
      </c>
      <c r="I72" s="164">
        <v>90000</v>
      </c>
    </row>
    <row r="73" spans="2:9" x14ac:dyDescent="0.25">
      <c r="B73" s="163" t="s">
        <v>194</v>
      </c>
      <c r="C73" s="164"/>
      <c r="D73" s="164"/>
      <c r="E73" s="164"/>
      <c r="F73" s="164"/>
      <c r="G73" s="164"/>
      <c r="H73" s="164">
        <v>5500</v>
      </c>
      <c r="I73" s="164">
        <v>5500</v>
      </c>
    </row>
    <row r="74" spans="2:9" x14ac:dyDescent="0.25">
      <c r="B74" s="163" t="s">
        <v>293</v>
      </c>
      <c r="C74" s="164"/>
      <c r="D74" s="164"/>
      <c r="E74" s="164"/>
      <c r="F74" s="164"/>
      <c r="G74" s="164"/>
      <c r="H74" s="164">
        <v>415065</v>
      </c>
      <c r="I74" s="164">
        <v>415065</v>
      </c>
    </row>
    <row r="75" spans="2:9" x14ac:dyDescent="0.25">
      <c r="B75" s="163" t="s">
        <v>48</v>
      </c>
      <c r="C75" s="164"/>
      <c r="D75" s="164"/>
      <c r="E75" s="164"/>
      <c r="F75" s="164"/>
      <c r="G75" s="164">
        <v>2500</v>
      </c>
      <c r="H75" s="164"/>
      <c r="I75" s="164">
        <v>2500</v>
      </c>
    </row>
    <row r="76" spans="2:9" x14ac:dyDescent="0.25">
      <c r="B76" s="163" t="s">
        <v>10</v>
      </c>
      <c r="C76" s="164"/>
      <c r="D76" s="164"/>
      <c r="E76" s="164"/>
      <c r="F76" s="164"/>
      <c r="G76" s="164">
        <v>29950</v>
      </c>
      <c r="H76" s="164"/>
      <c r="I76" s="164">
        <v>29950</v>
      </c>
    </row>
    <row r="77" spans="2:9" x14ac:dyDescent="0.25">
      <c r="B77" s="163" t="s">
        <v>351</v>
      </c>
      <c r="C77" s="164"/>
      <c r="D77" s="164"/>
      <c r="E77" s="164">
        <v>500000</v>
      </c>
      <c r="F77" s="164"/>
      <c r="G77" s="164"/>
      <c r="H77" s="164"/>
      <c r="I77" s="164">
        <v>500000</v>
      </c>
    </row>
    <row r="78" spans="2:9" x14ac:dyDescent="0.25">
      <c r="B78" s="163" t="s">
        <v>270</v>
      </c>
      <c r="C78" s="164"/>
      <c r="D78" s="164"/>
      <c r="E78" s="164"/>
      <c r="F78" s="164"/>
      <c r="G78" s="164"/>
      <c r="H78" s="164">
        <v>130625</v>
      </c>
      <c r="I78" s="164">
        <v>130625</v>
      </c>
    </row>
    <row r="79" spans="2:9" x14ac:dyDescent="0.25">
      <c r="B79" s="163" t="s">
        <v>323</v>
      </c>
      <c r="C79" s="164"/>
      <c r="D79" s="164"/>
      <c r="E79" s="164"/>
      <c r="F79" s="164"/>
      <c r="G79" s="164"/>
      <c r="H79" s="164">
        <v>20000</v>
      </c>
      <c r="I79" s="164">
        <v>20000</v>
      </c>
    </row>
    <row r="80" spans="2:9" x14ac:dyDescent="0.25">
      <c r="B80" s="163" t="s">
        <v>328</v>
      </c>
      <c r="C80" s="164"/>
      <c r="D80" s="164"/>
      <c r="E80" s="164"/>
      <c r="F80" s="164"/>
      <c r="G80" s="164"/>
      <c r="H80" s="164">
        <v>75000</v>
      </c>
      <c r="I80" s="164">
        <v>75000</v>
      </c>
    </row>
    <row r="81" spans="2:9" x14ac:dyDescent="0.25">
      <c r="B81" s="163" t="s">
        <v>197</v>
      </c>
      <c r="C81" s="164"/>
      <c r="D81" s="164"/>
      <c r="E81" s="164"/>
      <c r="F81" s="164"/>
      <c r="G81" s="164"/>
      <c r="H81" s="164">
        <v>400475</v>
      </c>
      <c r="I81" s="164">
        <v>400475</v>
      </c>
    </row>
    <row r="82" spans="2:9" x14ac:dyDescent="0.25">
      <c r="B82" s="163" t="s">
        <v>166</v>
      </c>
      <c r="C82" s="164"/>
      <c r="D82" s="164"/>
      <c r="E82" s="164"/>
      <c r="F82" s="164"/>
      <c r="G82" s="164"/>
      <c r="H82" s="164">
        <v>32650</v>
      </c>
      <c r="I82" s="164">
        <v>32650</v>
      </c>
    </row>
    <row r="83" spans="2:9" x14ac:dyDescent="0.25">
      <c r="B83" s="163" t="s">
        <v>357</v>
      </c>
      <c r="C83" s="164"/>
      <c r="D83" s="164"/>
      <c r="E83" s="164"/>
      <c r="F83" s="164"/>
      <c r="G83" s="164">
        <v>171800</v>
      </c>
      <c r="H83" s="164"/>
      <c r="I83" s="164">
        <v>171800</v>
      </c>
    </row>
    <row r="84" spans="2:9" ht="23.25" customHeight="1" x14ac:dyDescent="0.25">
      <c r="B84" s="163" t="s">
        <v>374</v>
      </c>
      <c r="C84" s="164">
        <v>497300</v>
      </c>
      <c r="D84" s="164">
        <v>26156</v>
      </c>
      <c r="E84" s="164">
        <v>989735</v>
      </c>
      <c r="F84" s="164">
        <v>106080</v>
      </c>
      <c r="G84" s="164">
        <v>209250</v>
      </c>
      <c r="H84" s="164">
        <v>3366026</v>
      </c>
      <c r="I84" s="164">
        <v>5194547</v>
      </c>
    </row>
    <row r="88" spans="2:9" x14ac:dyDescent="0.25">
      <c r="B88" s="160" t="s">
        <v>345</v>
      </c>
      <c r="C88" s="165">
        <f>Table1[[#Totals],[Cumulative]]</f>
        <v>6250000</v>
      </c>
    </row>
    <row r="90" spans="2:9" x14ac:dyDescent="0.25">
      <c r="B90" s="160" t="s">
        <v>346</v>
      </c>
      <c r="C90" s="165">
        <f>GETPIVOTDATA("Total",$B$15)</f>
        <v>5194547</v>
      </c>
    </row>
    <row r="92" spans="2:9" x14ac:dyDescent="0.25">
      <c r="B92" s="160" t="s">
        <v>347</v>
      </c>
      <c r="C92" s="165">
        <f>Table1[[#Totals],[Outstanding 
Payments]]</f>
        <v>5194547</v>
      </c>
    </row>
    <row r="94" spans="2:9" x14ac:dyDescent="0.25">
      <c r="B94" s="160" t="s">
        <v>348</v>
      </c>
      <c r="C94" s="166">
        <f>C88*0.7</f>
        <v>4375000</v>
      </c>
    </row>
    <row r="96" spans="2:9" x14ac:dyDescent="0.25">
      <c r="B96" s="160" t="s">
        <v>349</v>
      </c>
      <c r="C96" s="166">
        <f>C94-C92-C90</f>
        <v>-6014094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51"/>
  <sheetViews>
    <sheetView tabSelected="1" zoomScale="130" zoomScaleNormal="130" workbookViewId="0">
      <selection activeCell="E17" sqref="E17"/>
    </sheetView>
  </sheetViews>
  <sheetFormatPr defaultRowHeight="12.75" x14ac:dyDescent="0.2"/>
  <cols>
    <col min="1" max="1" width="9.140625" style="38"/>
    <col min="2" max="2" width="10.42578125" style="38" customWidth="1"/>
    <col min="3" max="3" width="11.140625" style="13" bestFit="1" customWidth="1"/>
    <col min="4" max="4" width="13.42578125" style="14" customWidth="1"/>
    <col min="5" max="5" width="24.85546875" style="14" customWidth="1"/>
    <col min="6" max="6" width="9.85546875" style="78" customWidth="1"/>
    <col min="7" max="7" width="10.7109375" style="50" customWidth="1"/>
    <col min="8" max="8" width="34.28515625" style="39" bestFit="1" customWidth="1"/>
    <col min="9" max="9" width="12.85546875" style="39" bestFit="1" customWidth="1"/>
    <col min="10" max="10" width="9.85546875" style="14" customWidth="1"/>
    <col min="11" max="11" width="12.7109375" style="40" customWidth="1"/>
    <col min="12" max="12" width="17.5703125" style="40" customWidth="1"/>
    <col min="13" max="13" width="13.85546875" style="10" bestFit="1" customWidth="1"/>
    <col min="14" max="14" width="16.28515625" style="10" bestFit="1" customWidth="1"/>
    <col min="15" max="15" width="16.28515625" style="102" customWidth="1"/>
    <col min="16" max="16" width="12.140625" style="13" bestFit="1" customWidth="1"/>
    <col min="17" max="18" width="12.140625" style="13" customWidth="1"/>
    <col min="19" max="19" width="12.42578125" style="13" bestFit="1" customWidth="1"/>
    <col min="20" max="20" width="12.42578125" style="13" customWidth="1"/>
    <col min="21" max="26" width="12.42578125" style="13" bestFit="1" customWidth="1"/>
    <col min="27" max="27" width="12.42578125" style="14" customWidth="1"/>
    <col min="28" max="28" width="11.140625" style="14" bestFit="1" customWidth="1"/>
    <col min="29" max="34" width="9.140625" style="14"/>
    <col min="35" max="35" width="12.140625" style="13" customWidth="1"/>
    <col min="36" max="36" width="9.5703125" style="13" customWidth="1"/>
    <col min="37" max="37" width="12.140625" style="13" customWidth="1"/>
    <col min="38" max="38" width="13.140625" style="13" customWidth="1"/>
    <col min="39" max="39" width="12.28515625" style="13" customWidth="1"/>
    <col min="40" max="40" width="13" style="13" customWidth="1"/>
    <col min="41" max="41" width="13.140625" style="13" customWidth="1"/>
    <col min="42" max="42" width="13" style="13" customWidth="1"/>
    <col min="43" max="43" width="12.5703125" style="13" customWidth="1"/>
    <col min="44" max="44" width="14.28515625" style="14" customWidth="1"/>
    <col min="45" max="45" width="9.85546875" style="14" bestFit="1" customWidth="1"/>
    <col min="46" max="46" width="12.42578125" style="14" customWidth="1"/>
    <col min="47" max="47" width="11.140625" style="14" bestFit="1" customWidth="1"/>
    <col min="48" max="16384" width="9.140625" style="14"/>
  </cols>
  <sheetData>
    <row r="1" spans="1:45" s="99" customFormat="1" ht="27" customHeight="1" x14ac:dyDescent="0.3">
      <c r="A1" s="199" t="s">
        <v>330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96">
        <f t="shared" ref="O1:Z1" si="0">SUM(O6:O261)</f>
        <v>500000</v>
      </c>
      <c r="P1" s="97">
        <f t="shared" si="0"/>
        <v>173500</v>
      </c>
      <c r="Q1" s="97">
        <f t="shared" si="0"/>
        <v>0</v>
      </c>
      <c r="R1" s="97">
        <f t="shared" si="0"/>
        <v>0</v>
      </c>
      <c r="S1" s="97">
        <f t="shared" si="0"/>
        <v>57500</v>
      </c>
      <c r="T1" s="97">
        <f t="shared" si="0"/>
        <v>0</v>
      </c>
      <c r="U1" s="97">
        <f t="shared" si="0"/>
        <v>13500</v>
      </c>
      <c r="V1" s="97">
        <f t="shared" si="0"/>
        <v>5000</v>
      </c>
      <c r="W1" s="97">
        <f t="shared" si="0"/>
        <v>4080</v>
      </c>
      <c r="X1" s="97">
        <f t="shared" si="0"/>
        <v>0</v>
      </c>
      <c r="Y1" s="97">
        <f t="shared" si="0"/>
        <v>0</v>
      </c>
      <c r="Z1" s="97">
        <f t="shared" si="0"/>
        <v>0</v>
      </c>
      <c r="AA1" s="98"/>
      <c r="AI1" s="68"/>
      <c r="AJ1" s="68"/>
      <c r="AK1" s="68"/>
      <c r="AL1" s="68"/>
      <c r="AM1" s="68"/>
      <c r="AN1" s="68"/>
      <c r="AO1" s="68"/>
      <c r="AP1" s="68"/>
      <c r="AQ1" s="68"/>
      <c r="AR1" s="100"/>
      <c r="AS1" s="100"/>
    </row>
    <row r="2" spans="1:45" s="31" customFormat="1" ht="18" x14ac:dyDescent="0.25">
      <c r="A2" s="106"/>
      <c r="B2" s="106"/>
      <c r="C2" s="106"/>
      <c r="D2" s="106"/>
      <c r="E2" s="107"/>
      <c r="F2" s="75"/>
      <c r="G2" s="113"/>
      <c r="H2" s="28"/>
      <c r="I2" s="28"/>
      <c r="J2" s="28"/>
      <c r="K2" s="28"/>
      <c r="L2" s="28"/>
      <c r="M2" s="97"/>
      <c r="N2" s="97"/>
      <c r="O2" s="96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G2" s="200"/>
      <c r="AH2" s="200"/>
      <c r="AI2" s="200"/>
      <c r="AJ2" s="200"/>
      <c r="AK2" s="200"/>
      <c r="AL2" s="200"/>
      <c r="AM2" s="200"/>
      <c r="AN2" s="200"/>
      <c r="AO2" s="200"/>
      <c r="AP2" s="200"/>
      <c r="AQ2" s="200"/>
      <c r="AR2" s="27"/>
      <c r="AS2" s="27"/>
    </row>
    <row r="3" spans="1:45" s="32" customFormat="1" ht="14.25" customHeight="1" x14ac:dyDescent="0.25">
      <c r="A3" s="201" t="s">
        <v>354</v>
      </c>
      <c r="B3" s="201"/>
      <c r="C3" s="201"/>
      <c r="D3" s="201"/>
      <c r="E3" s="202"/>
      <c r="F3" s="75"/>
      <c r="G3" s="113"/>
      <c r="H3" s="28"/>
      <c r="I3" s="28"/>
      <c r="J3" s="28"/>
      <c r="K3" s="28"/>
      <c r="L3" s="28"/>
      <c r="M3" s="97"/>
      <c r="N3" s="97"/>
      <c r="O3" s="96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31"/>
      <c r="AI3" s="4"/>
      <c r="AJ3" s="4"/>
      <c r="AK3" s="4"/>
      <c r="AL3" s="4"/>
      <c r="AM3" s="4"/>
      <c r="AN3" s="4"/>
      <c r="AO3" s="4"/>
      <c r="AP3" s="4"/>
      <c r="AQ3" s="4"/>
      <c r="AR3" s="33"/>
      <c r="AS3" s="33"/>
    </row>
    <row r="4" spans="1:45" s="30" customFormat="1" ht="16.5" x14ac:dyDescent="0.25">
      <c r="F4" s="75"/>
      <c r="G4" s="113"/>
      <c r="H4" s="28"/>
      <c r="I4" s="28"/>
      <c r="J4" s="28"/>
      <c r="K4" s="28"/>
      <c r="L4" s="28"/>
      <c r="M4" s="97"/>
      <c r="N4" s="97"/>
      <c r="O4" s="96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4"/>
      <c r="AI4" s="4"/>
      <c r="AJ4" s="4"/>
      <c r="AK4" s="4"/>
      <c r="AL4" s="4"/>
      <c r="AM4" s="4"/>
      <c r="AN4" s="4"/>
      <c r="AO4" s="4"/>
      <c r="AP4" s="4"/>
      <c r="AQ4" s="4"/>
      <c r="AR4" s="35"/>
      <c r="AS4" s="35"/>
    </row>
    <row r="5" spans="1:45" s="30" customFormat="1" ht="30.75" customHeight="1" x14ac:dyDescent="0.25">
      <c r="A5" s="26" t="s">
        <v>0</v>
      </c>
      <c r="B5" s="26" t="s">
        <v>376</v>
      </c>
      <c r="C5" s="26" t="s">
        <v>7</v>
      </c>
      <c r="D5" s="26" t="s">
        <v>368</v>
      </c>
      <c r="E5" s="26" t="s">
        <v>331</v>
      </c>
      <c r="F5" s="105" t="s">
        <v>344</v>
      </c>
      <c r="G5" s="108" t="s">
        <v>1</v>
      </c>
      <c r="H5" s="108" t="s">
        <v>9</v>
      </c>
      <c r="I5" s="108" t="s">
        <v>355</v>
      </c>
      <c r="J5" s="108" t="s">
        <v>2</v>
      </c>
      <c r="K5" s="108" t="s">
        <v>3</v>
      </c>
      <c r="L5" s="108" t="s">
        <v>367</v>
      </c>
      <c r="M5" s="108" t="s">
        <v>4</v>
      </c>
      <c r="N5" s="108" t="s">
        <v>369</v>
      </c>
      <c r="O5" s="105" t="s">
        <v>350</v>
      </c>
      <c r="P5" s="108" t="s">
        <v>339</v>
      </c>
      <c r="Q5" s="108" t="s">
        <v>352</v>
      </c>
      <c r="R5" s="108" t="s">
        <v>10</v>
      </c>
      <c r="S5" s="108" t="s">
        <v>340</v>
      </c>
      <c r="T5" s="108" t="s">
        <v>353</v>
      </c>
      <c r="U5" s="108" t="s">
        <v>341</v>
      </c>
      <c r="V5" s="108" t="s">
        <v>246</v>
      </c>
      <c r="W5" s="108" t="s">
        <v>342</v>
      </c>
      <c r="X5" s="108" t="s">
        <v>5</v>
      </c>
      <c r="Y5" s="108" t="s">
        <v>343</v>
      </c>
      <c r="Z5" s="108" t="s">
        <v>6</v>
      </c>
      <c r="AA5" s="34"/>
      <c r="AI5" s="4"/>
      <c r="AJ5" s="4"/>
      <c r="AK5" s="4"/>
      <c r="AL5" s="4"/>
      <c r="AM5" s="4"/>
      <c r="AN5" s="4"/>
      <c r="AO5" s="4"/>
      <c r="AP5" s="4"/>
      <c r="AQ5" s="4"/>
      <c r="AR5" s="35"/>
      <c r="AS5" s="35"/>
    </row>
    <row r="6" spans="1:45" s="30" customFormat="1" ht="16.5" x14ac:dyDescent="0.25">
      <c r="A6" s="2">
        <v>45107</v>
      </c>
      <c r="B6" s="119">
        <v>1</v>
      </c>
      <c r="C6" s="4">
        <v>500000</v>
      </c>
      <c r="D6" s="26">
        <v>500000</v>
      </c>
      <c r="E6" s="26" t="s">
        <v>370</v>
      </c>
      <c r="F6" s="76">
        <v>45091</v>
      </c>
      <c r="G6" s="114">
        <v>1</v>
      </c>
      <c r="H6" s="5" t="s">
        <v>10</v>
      </c>
      <c r="I6" s="5" t="s">
        <v>357</v>
      </c>
      <c r="J6" s="6" t="s">
        <v>11</v>
      </c>
      <c r="K6" s="9" t="s">
        <v>332</v>
      </c>
      <c r="L6" s="9" t="s">
        <v>334</v>
      </c>
      <c r="M6" s="116">
        <v>5000</v>
      </c>
      <c r="N6" s="7">
        <f>M6</f>
        <v>5000</v>
      </c>
      <c r="O6" s="86"/>
      <c r="P6" s="120">
        <v>5000</v>
      </c>
      <c r="Q6" s="120"/>
      <c r="R6" s="120"/>
      <c r="S6" s="120"/>
      <c r="T6" s="120"/>
      <c r="U6" s="120"/>
      <c r="V6" s="120"/>
      <c r="W6" s="120"/>
      <c r="X6" s="61"/>
      <c r="Y6" s="61"/>
      <c r="Z6" s="61"/>
      <c r="AA6" s="34"/>
      <c r="AI6" s="4"/>
      <c r="AJ6" s="4"/>
      <c r="AK6" s="4"/>
      <c r="AL6" s="4"/>
      <c r="AM6" s="4"/>
      <c r="AN6" s="4"/>
      <c r="AO6" s="4"/>
      <c r="AP6" s="4"/>
      <c r="AQ6" s="4"/>
      <c r="AR6" s="35"/>
      <c r="AS6" s="35"/>
    </row>
    <row r="7" spans="1:45" s="30" customFormat="1" ht="16.5" x14ac:dyDescent="0.25">
      <c r="A7" s="2">
        <v>45134</v>
      </c>
      <c r="B7" s="119">
        <v>1</v>
      </c>
      <c r="C7" s="4">
        <v>500000</v>
      </c>
      <c r="D7" s="26">
        <f t="shared" ref="D7:D15" si="1">D6+C7</f>
        <v>1000000</v>
      </c>
      <c r="E7" s="26" t="s">
        <v>371</v>
      </c>
      <c r="F7" s="76">
        <v>45091</v>
      </c>
      <c r="G7" s="114">
        <v>2</v>
      </c>
      <c r="H7" s="5" t="s">
        <v>12</v>
      </c>
      <c r="I7" s="5" t="s">
        <v>357</v>
      </c>
      <c r="J7" s="6" t="s">
        <v>13</v>
      </c>
      <c r="K7" s="9" t="s">
        <v>359</v>
      </c>
      <c r="L7" s="9" t="s">
        <v>335</v>
      </c>
      <c r="M7" s="116">
        <v>5000</v>
      </c>
      <c r="N7" s="7">
        <f>M7+N6</f>
        <v>10000</v>
      </c>
      <c r="O7" s="86"/>
      <c r="P7" s="120"/>
      <c r="Q7" s="120"/>
      <c r="R7" s="120"/>
      <c r="S7" s="120"/>
      <c r="T7" s="120"/>
      <c r="U7" s="120"/>
      <c r="V7" s="120">
        <v>5000</v>
      </c>
      <c r="W7" s="120"/>
      <c r="X7" s="61"/>
      <c r="Y7" s="61"/>
      <c r="Z7" s="61"/>
      <c r="AA7" s="34"/>
      <c r="AI7" s="4"/>
      <c r="AJ7" s="4"/>
      <c r="AK7" s="4"/>
      <c r="AL7" s="4"/>
      <c r="AM7" s="4"/>
      <c r="AN7" s="4"/>
      <c r="AO7" s="4"/>
      <c r="AP7" s="4"/>
      <c r="AQ7" s="4"/>
      <c r="AR7" s="35"/>
      <c r="AS7" s="35"/>
    </row>
    <row r="8" spans="1:45" s="30" customFormat="1" ht="16.5" x14ac:dyDescent="0.25">
      <c r="A8" s="2">
        <v>45204</v>
      </c>
      <c r="B8" s="119">
        <v>1</v>
      </c>
      <c r="C8" s="4">
        <v>500000</v>
      </c>
      <c r="D8" s="26">
        <f t="shared" si="1"/>
        <v>1500000</v>
      </c>
      <c r="E8" s="26" t="s">
        <v>372</v>
      </c>
      <c r="F8" s="76">
        <v>45105</v>
      </c>
      <c r="G8" s="114">
        <v>3</v>
      </c>
      <c r="H8" s="5" t="s">
        <v>14</v>
      </c>
      <c r="I8" s="5" t="s">
        <v>247</v>
      </c>
      <c r="J8" s="6" t="s">
        <v>15</v>
      </c>
      <c r="K8" s="9" t="s">
        <v>360</v>
      </c>
      <c r="L8" s="9" t="s">
        <v>244</v>
      </c>
      <c r="M8" s="116">
        <v>8400</v>
      </c>
      <c r="N8" s="7">
        <f t="shared" ref="N8:N57" si="2">M8+N7</f>
        <v>18400</v>
      </c>
      <c r="O8" s="86"/>
      <c r="P8" s="120"/>
      <c r="Q8" s="120"/>
      <c r="R8" s="120"/>
      <c r="S8" s="120"/>
      <c r="T8" s="120"/>
      <c r="U8" s="120"/>
      <c r="V8" s="120"/>
      <c r="W8" s="120"/>
      <c r="X8" s="61"/>
      <c r="Y8" s="61"/>
      <c r="Z8" s="61"/>
      <c r="AA8" s="34"/>
      <c r="AI8" s="4"/>
      <c r="AJ8" s="4"/>
      <c r="AK8" s="4"/>
      <c r="AL8" s="4"/>
      <c r="AM8" s="4"/>
      <c r="AN8" s="4"/>
      <c r="AO8" s="4"/>
      <c r="AP8" s="4"/>
      <c r="AQ8" s="4"/>
      <c r="AR8" s="35"/>
      <c r="AS8" s="35"/>
    </row>
    <row r="9" spans="1:45" s="30" customFormat="1" ht="16.5" x14ac:dyDescent="0.25">
      <c r="A9" s="2">
        <v>45211</v>
      </c>
      <c r="B9" s="119">
        <v>1</v>
      </c>
      <c r="C9" s="4">
        <v>500000</v>
      </c>
      <c r="D9" s="26">
        <f t="shared" si="1"/>
        <v>2000000</v>
      </c>
      <c r="E9" s="26" t="s">
        <v>371</v>
      </c>
      <c r="F9" s="76">
        <v>45104</v>
      </c>
      <c r="G9" s="114">
        <v>4</v>
      </c>
      <c r="H9" s="5" t="s">
        <v>16</v>
      </c>
      <c r="I9" s="5" t="s">
        <v>356</v>
      </c>
      <c r="J9" s="6" t="s">
        <v>17</v>
      </c>
      <c r="K9" s="9" t="s">
        <v>361</v>
      </c>
      <c r="L9" s="9" t="s">
        <v>243</v>
      </c>
      <c r="M9" s="116">
        <v>5000</v>
      </c>
      <c r="N9" s="7">
        <f t="shared" si="2"/>
        <v>23400</v>
      </c>
      <c r="O9" s="86"/>
      <c r="P9" s="120"/>
      <c r="Q9" s="120"/>
      <c r="R9" s="120"/>
      <c r="S9" s="120"/>
      <c r="T9" s="120"/>
      <c r="U9" s="120"/>
      <c r="V9" s="120"/>
      <c r="W9" s="120"/>
      <c r="X9" s="61"/>
      <c r="Y9" s="61"/>
      <c r="Z9" s="61"/>
      <c r="AA9" s="34"/>
      <c r="AI9" s="4"/>
      <c r="AJ9" s="4"/>
      <c r="AK9" s="4"/>
      <c r="AL9" s="4"/>
      <c r="AM9" s="4"/>
      <c r="AN9" s="4"/>
      <c r="AO9" s="4"/>
      <c r="AP9" s="4"/>
      <c r="AQ9" s="4"/>
      <c r="AR9" s="35"/>
      <c r="AS9" s="35"/>
    </row>
    <row r="10" spans="1:45" s="30" customFormat="1" ht="16.5" x14ac:dyDescent="0.25">
      <c r="A10" s="2">
        <v>45231</v>
      </c>
      <c r="B10" s="119">
        <v>1</v>
      </c>
      <c r="C10" s="4">
        <v>1500000</v>
      </c>
      <c r="D10" s="26">
        <f t="shared" si="1"/>
        <v>3500000</v>
      </c>
      <c r="E10" s="26" t="s">
        <v>372</v>
      </c>
      <c r="F10" s="76">
        <v>45103</v>
      </c>
      <c r="G10" s="114">
        <v>5</v>
      </c>
      <c r="H10" s="5" t="s">
        <v>10</v>
      </c>
      <c r="I10" s="5" t="s">
        <v>357</v>
      </c>
      <c r="J10" s="6" t="s">
        <v>18</v>
      </c>
      <c r="K10" s="9" t="s">
        <v>362</v>
      </c>
      <c r="L10" s="9" t="s">
        <v>336</v>
      </c>
      <c r="M10" s="116">
        <v>2500</v>
      </c>
      <c r="N10" s="7">
        <f t="shared" si="2"/>
        <v>25900</v>
      </c>
      <c r="O10" s="86"/>
      <c r="P10" s="120">
        <v>2500</v>
      </c>
      <c r="Q10" s="120"/>
      <c r="R10" s="120"/>
      <c r="S10" s="120"/>
      <c r="T10" s="120"/>
      <c r="U10" s="120"/>
      <c r="V10" s="120"/>
      <c r="W10" s="120"/>
      <c r="X10" s="61"/>
      <c r="Y10" s="61"/>
      <c r="Z10" s="61"/>
      <c r="AA10" s="34"/>
      <c r="AI10" s="4"/>
      <c r="AJ10" s="4"/>
      <c r="AK10" s="4"/>
      <c r="AL10" s="4"/>
      <c r="AM10" s="4"/>
      <c r="AN10" s="4"/>
      <c r="AO10" s="4"/>
      <c r="AP10" s="4"/>
      <c r="AQ10" s="4"/>
      <c r="AR10" s="35"/>
      <c r="AS10" s="35"/>
    </row>
    <row r="11" spans="1:45" s="30" customFormat="1" ht="16.5" x14ac:dyDescent="0.25">
      <c r="A11" s="2">
        <v>45311</v>
      </c>
      <c r="B11" s="119">
        <v>1</v>
      </c>
      <c r="C11" s="4">
        <v>1000000</v>
      </c>
      <c r="D11" s="26">
        <f t="shared" si="1"/>
        <v>4500000</v>
      </c>
      <c r="E11" s="26" t="s">
        <v>371</v>
      </c>
      <c r="F11" s="76">
        <v>45106</v>
      </c>
      <c r="G11" s="114">
        <v>6</v>
      </c>
      <c r="H11" s="5" t="s">
        <v>357</v>
      </c>
      <c r="I11" s="5" t="s">
        <v>357</v>
      </c>
      <c r="J11" s="6" t="s">
        <v>19</v>
      </c>
      <c r="K11" s="9" t="s">
        <v>363</v>
      </c>
      <c r="L11" s="9" t="s">
        <v>333</v>
      </c>
      <c r="M11" s="116">
        <v>5000</v>
      </c>
      <c r="N11" s="7">
        <f t="shared" si="2"/>
        <v>30900</v>
      </c>
      <c r="O11" s="86"/>
      <c r="P11" s="120">
        <v>2500</v>
      </c>
      <c r="Q11" s="120"/>
      <c r="R11" s="120"/>
      <c r="S11" s="120"/>
      <c r="T11" s="120"/>
      <c r="U11" s="120"/>
      <c r="V11" s="120"/>
      <c r="W11" s="120"/>
      <c r="X11" s="61"/>
      <c r="Y11" s="61"/>
      <c r="Z11" s="61"/>
      <c r="AA11" s="34"/>
      <c r="AI11" s="4"/>
      <c r="AJ11" s="4"/>
      <c r="AK11" s="4"/>
      <c r="AL11" s="4"/>
      <c r="AM11" s="4"/>
      <c r="AN11" s="4"/>
      <c r="AO11" s="4"/>
      <c r="AP11" s="4"/>
      <c r="AQ11" s="4"/>
      <c r="AR11" s="35"/>
      <c r="AS11" s="35"/>
    </row>
    <row r="12" spans="1:45" s="30" customFormat="1" ht="16.5" x14ac:dyDescent="0.25">
      <c r="A12" s="2">
        <v>45350</v>
      </c>
      <c r="B12" s="119">
        <v>1</v>
      </c>
      <c r="C12" s="4">
        <v>700000</v>
      </c>
      <c r="D12" s="26">
        <f t="shared" si="1"/>
        <v>5200000</v>
      </c>
      <c r="E12" s="26" t="s">
        <v>371</v>
      </c>
      <c r="F12" s="76">
        <v>45104</v>
      </c>
      <c r="G12" s="114">
        <v>7</v>
      </c>
      <c r="H12" s="5" t="s">
        <v>357</v>
      </c>
      <c r="I12" s="5" t="s">
        <v>357</v>
      </c>
      <c r="J12" s="6" t="s">
        <v>20</v>
      </c>
      <c r="K12" s="6"/>
      <c r="L12" s="9" t="s">
        <v>337</v>
      </c>
      <c r="M12" s="116">
        <v>5000</v>
      </c>
      <c r="N12" s="7">
        <f t="shared" si="2"/>
        <v>35900</v>
      </c>
      <c r="O12" s="86"/>
      <c r="P12" s="120">
        <v>5000</v>
      </c>
      <c r="Q12" s="120"/>
      <c r="R12" s="120"/>
      <c r="S12" s="120"/>
      <c r="T12" s="120"/>
      <c r="U12" s="120"/>
      <c r="V12" s="120"/>
      <c r="W12" s="120"/>
      <c r="X12" s="61"/>
      <c r="Y12" s="61"/>
      <c r="Z12" s="61"/>
      <c r="AA12" s="34"/>
      <c r="AI12" s="4"/>
      <c r="AJ12" s="4"/>
      <c r="AK12" s="4"/>
      <c r="AL12" s="4"/>
      <c r="AM12" s="4"/>
      <c r="AN12" s="4"/>
      <c r="AO12" s="4"/>
      <c r="AP12" s="4"/>
      <c r="AQ12" s="4"/>
      <c r="AR12" s="35"/>
      <c r="AS12" s="35"/>
    </row>
    <row r="13" spans="1:45" s="30" customFormat="1" ht="16.5" x14ac:dyDescent="0.25">
      <c r="A13" s="2">
        <v>45362</v>
      </c>
      <c r="B13" s="119">
        <v>1</v>
      </c>
      <c r="C13" s="4">
        <v>300000</v>
      </c>
      <c r="D13" s="26">
        <f t="shared" si="1"/>
        <v>5500000</v>
      </c>
      <c r="E13" s="26" t="s">
        <v>372</v>
      </c>
      <c r="F13" s="76">
        <v>45108</v>
      </c>
      <c r="G13" s="114">
        <v>8</v>
      </c>
      <c r="H13" s="5" t="s">
        <v>16</v>
      </c>
      <c r="I13" s="5" t="s">
        <v>356</v>
      </c>
      <c r="J13" s="6" t="s">
        <v>21</v>
      </c>
      <c r="K13" s="6"/>
      <c r="L13" s="9" t="s">
        <v>338</v>
      </c>
      <c r="M13" s="116">
        <v>16300</v>
      </c>
      <c r="N13" s="7">
        <f t="shared" si="2"/>
        <v>52200</v>
      </c>
      <c r="O13" s="86"/>
      <c r="P13" s="120"/>
      <c r="Q13" s="120"/>
      <c r="R13" s="120"/>
      <c r="S13" s="120"/>
      <c r="T13" s="120"/>
      <c r="U13" s="120"/>
      <c r="V13" s="120"/>
      <c r="W13" s="120"/>
      <c r="X13" s="61"/>
      <c r="Y13" s="61"/>
      <c r="Z13" s="61"/>
      <c r="AA13" s="34"/>
      <c r="AI13" s="4"/>
      <c r="AJ13" s="4"/>
      <c r="AK13" s="4"/>
      <c r="AL13" s="4"/>
      <c r="AM13" s="4"/>
      <c r="AN13" s="4"/>
      <c r="AO13" s="4"/>
      <c r="AP13" s="4"/>
      <c r="AQ13" s="4"/>
      <c r="AR13" s="35"/>
      <c r="AS13" s="35"/>
    </row>
    <row r="14" spans="1:45" s="30" customFormat="1" ht="16.5" x14ac:dyDescent="0.25">
      <c r="A14" s="2">
        <v>45389</v>
      </c>
      <c r="B14" s="119">
        <v>1</v>
      </c>
      <c r="C14" s="4">
        <v>250000</v>
      </c>
      <c r="D14" s="26">
        <f t="shared" si="1"/>
        <v>5750000</v>
      </c>
      <c r="E14" s="26" t="s">
        <v>371</v>
      </c>
      <c r="F14" s="76">
        <v>45108</v>
      </c>
      <c r="G14" s="114">
        <v>9</v>
      </c>
      <c r="H14" s="5" t="s">
        <v>22</v>
      </c>
      <c r="I14" s="5" t="s">
        <v>356</v>
      </c>
      <c r="J14" s="6" t="s">
        <v>23</v>
      </c>
      <c r="K14" s="6"/>
      <c r="L14" s="9" t="s">
        <v>245</v>
      </c>
      <c r="M14" s="116">
        <v>8000</v>
      </c>
      <c r="N14" s="7">
        <f t="shared" si="2"/>
        <v>60200</v>
      </c>
      <c r="O14" s="86"/>
      <c r="P14" s="120"/>
      <c r="Q14" s="120"/>
      <c r="R14" s="120"/>
      <c r="S14" s="120"/>
      <c r="T14" s="120"/>
      <c r="U14" s="120"/>
      <c r="V14" s="120"/>
      <c r="W14" s="120"/>
      <c r="X14" s="61"/>
      <c r="Y14" s="61"/>
      <c r="Z14" s="61"/>
      <c r="AA14" s="34"/>
      <c r="AI14" s="4"/>
      <c r="AJ14" s="4"/>
      <c r="AK14" s="4"/>
      <c r="AL14" s="4"/>
      <c r="AM14" s="4"/>
      <c r="AN14" s="4"/>
      <c r="AO14" s="4"/>
      <c r="AP14" s="4"/>
      <c r="AQ14" s="4"/>
      <c r="AR14" s="35"/>
      <c r="AS14" s="35"/>
    </row>
    <row r="15" spans="1:45" s="30" customFormat="1" ht="16.5" x14ac:dyDescent="0.25">
      <c r="A15" s="2">
        <v>45392</v>
      </c>
      <c r="B15" s="119">
        <v>1</v>
      </c>
      <c r="C15" s="4">
        <v>500000</v>
      </c>
      <c r="D15" s="26">
        <f t="shared" si="1"/>
        <v>6250000</v>
      </c>
      <c r="E15" s="26" t="s">
        <v>371</v>
      </c>
      <c r="F15" s="76">
        <v>45111</v>
      </c>
      <c r="G15" s="114">
        <v>10</v>
      </c>
      <c r="H15" s="5" t="s">
        <v>357</v>
      </c>
      <c r="I15" s="5" t="s">
        <v>357</v>
      </c>
      <c r="J15" s="6" t="s">
        <v>23</v>
      </c>
      <c r="K15" s="6"/>
      <c r="L15" s="6" t="s">
        <v>364</v>
      </c>
      <c r="M15" s="116">
        <v>5100</v>
      </c>
      <c r="N15" s="7">
        <f t="shared" si="2"/>
        <v>65300</v>
      </c>
      <c r="O15" s="86"/>
      <c r="P15" s="120">
        <v>5100</v>
      </c>
      <c r="Q15" s="120"/>
      <c r="R15" s="120"/>
      <c r="S15" s="120"/>
      <c r="T15" s="120"/>
      <c r="U15" s="120"/>
      <c r="V15" s="120"/>
      <c r="W15" s="120"/>
      <c r="X15" s="61"/>
      <c r="Y15" s="61"/>
      <c r="Z15" s="61"/>
      <c r="AA15" s="34"/>
      <c r="AI15" s="4"/>
      <c r="AJ15" s="4"/>
      <c r="AK15" s="4"/>
      <c r="AL15" s="4"/>
      <c r="AM15" s="4"/>
      <c r="AN15" s="4"/>
      <c r="AO15" s="4"/>
      <c r="AP15" s="4"/>
      <c r="AQ15" s="4"/>
      <c r="AR15" s="35"/>
      <c r="AS15" s="35"/>
    </row>
    <row r="16" spans="1:45" s="30" customFormat="1" ht="16.5" x14ac:dyDescent="0.25">
      <c r="A16" s="2"/>
      <c r="B16" s="119">
        <v>1</v>
      </c>
      <c r="C16" s="4"/>
      <c r="D16" s="26"/>
      <c r="E16" s="26"/>
      <c r="F16" s="76">
        <v>45111</v>
      </c>
      <c r="G16" s="114">
        <v>11</v>
      </c>
      <c r="H16" s="5" t="s">
        <v>31</v>
      </c>
      <c r="I16" s="5" t="s">
        <v>358</v>
      </c>
      <c r="J16" s="6" t="s">
        <v>24</v>
      </c>
      <c r="K16" s="6"/>
      <c r="L16" s="6" t="s">
        <v>365</v>
      </c>
      <c r="M16" s="116">
        <v>2520</v>
      </c>
      <c r="N16" s="7">
        <f t="shared" si="2"/>
        <v>67820</v>
      </c>
      <c r="O16" s="86"/>
      <c r="P16" s="120"/>
      <c r="Q16" s="120"/>
      <c r="R16" s="120"/>
      <c r="S16" s="120"/>
      <c r="T16" s="120"/>
      <c r="U16" s="120"/>
      <c r="V16" s="120"/>
      <c r="W16" s="120">
        <v>2520</v>
      </c>
      <c r="X16" s="61"/>
      <c r="Y16" s="61"/>
      <c r="Z16" s="61"/>
      <c r="AA16" s="34"/>
      <c r="AI16" s="4"/>
      <c r="AJ16" s="4"/>
      <c r="AK16" s="4"/>
      <c r="AL16" s="4"/>
      <c r="AM16" s="4"/>
      <c r="AN16" s="4"/>
      <c r="AO16" s="4"/>
      <c r="AP16" s="4"/>
      <c r="AQ16" s="4"/>
      <c r="AR16" s="35"/>
      <c r="AS16" s="35"/>
    </row>
    <row r="17" spans="1:45" s="30" customFormat="1" ht="16.5" x14ac:dyDescent="0.25">
      <c r="A17" s="2"/>
      <c r="B17" s="119">
        <v>1</v>
      </c>
      <c r="C17" s="4"/>
      <c r="D17" s="26"/>
      <c r="E17" s="26"/>
      <c r="F17" s="76">
        <v>45111</v>
      </c>
      <c r="G17" s="114">
        <v>12</v>
      </c>
      <c r="H17" s="5" t="s">
        <v>32</v>
      </c>
      <c r="I17" s="5" t="s">
        <v>358</v>
      </c>
      <c r="J17" s="6" t="s">
        <v>25</v>
      </c>
      <c r="K17" s="6"/>
      <c r="L17" s="6" t="s">
        <v>366</v>
      </c>
      <c r="M17" s="116">
        <v>1000</v>
      </c>
      <c r="N17" s="7">
        <f t="shared" si="2"/>
        <v>68820</v>
      </c>
      <c r="O17" s="86"/>
      <c r="P17" s="120"/>
      <c r="Q17" s="120"/>
      <c r="R17" s="120"/>
      <c r="S17" s="120"/>
      <c r="T17" s="120"/>
      <c r="U17" s="120"/>
      <c r="V17" s="120"/>
      <c r="W17" s="120"/>
      <c r="X17" s="61"/>
      <c r="Y17" s="61"/>
      <c r="Z17" s="61"/>
      <c r="AA17" s="34"/>
      <c r="AI17" s="4"/>
      <c r="AJ17" s="4"/>
      <c r="AK17" s="4"/>
      <c r="AL17" s="4"/>
      <c r="AM17" s="4"/>
      <c r="AN17" s="4"/>
      <c r="AO17" s="4"/>
      <c r="AP17" s="4"/>
      <c r="AQ17" s="4"/>
      <c r="AR17" s="35"/>
      <c r="AS17" s="35"/>
    </row>
    <row r="18" spans="1:45" s="30" customFormat="1" ht="16.5" x14ac:dyDescent="0.25">
      <c r="A18" s="2"/>
      <c r="B18" s="119">
        <v>1</v>
      </c>
      <c r="C18" s="4"/>
      <c r="D18" s="26"/>
      <c r="E18" s="26"/>
      <c r="F18" s="76">
        <v>45111</v>
      </c>
      <c r="G18" s="114">
        <v>13</v>
      </c>
      <c r="H18" s="5" t="s">
        <v>357</v>
      </c>
      <c r="I18" s="5" t="s">
        <v>357</v>
      </c>
      <c r="J18" s="6" t="s">
        <v>26</v>
      </c>
      <c r="K18" s="6"/>
      <c r="L18" s="6"/>
      <c r="M18" s="116">
        <v>5000</v>
      </c>
      <c r="N18" s="7">
        <f t="shared" si="2"/>
        <v>73820</v>
      </c>
      <c r="O18" s="86"/>
      <c r="P18" s="120">
        <v>5000</v>
      </c>
      <c r="Q18" s="120"/>
      <c r="R18" s="120"/>
      <c r="S18" s="120"/>
      <c r="T18" s="120"/>
      <c r="U18" s="120"/>
      <c r="V18" s="120"/>
      <c r="W18" s="120"/>
      <c r="X18" s="61"/>
      <c r="Y18" s="61"/>
      <c r="Z18" s="61"/>
      <c r="AA18" s="34"/>
      <c r="AI18" s="4"/>
      <c r="AJ18" s="4"/>
      <c r="AK18" s="4"/>
      <c r="AL18" s="4"/>
      <c r="AM18" s="4"/>
      <c r="AN18" s="4"/>
      <c r="AO18" s="4"/>
      <c r="AP18" s="4"/>
      <c r="AQ18" s="4"/>
      <c r="AR18" s="35"/>
      <c r="AS18" s="35"/>
    </row>
    <row r="19" spans="1:45" s="30" customFormat="1" ht="16.5" x14ac:dyDescent="0.25">
      <c r="A19" s="2"/>
      <c r="B19" s="119">
        <v>1</v>
      </c>
      <c r="C19" s="4"/>
      <c r="D19" s="26"/>
      <c r="E19" s="26"/>
      <c r="F19" s="76">
        <v>45111</v>
      </c>
      <c r="G19" s="114">
        <v>14</v>
      </c>
      <c r="H19" s="5" t="s">
        <v>27</v>
      </c>
      <c r="I19" s="5" t="s">
        <v>247</v>
      </c>
      <c r="J19" s="6" t="s">
        <v>28</v>
      </c>
      <c r="K19" s="6"/>
      <c r="L19" s="6"/>
      <c r="M19" s="116">
        <v>3160</v>
      </c>
      <c r="N19" s="7">
        <f t="shared" si="2"/>
        <v>76980</v>
      </c>
      <c r="O19" s="86"/>
      <c r="P19" s="120"/>
      <c r="Q19" s="120"/>
      <c r="R19" s="120"/>
      <c r="S19" s="120"/>
      <c r="T19" s="120"/>
      <c r="U19" s="120"/>
      <c r="V19" s="120"/>
      <c r="W19" s="120"/>
      <c r="X19" s="61"/>
      <c r="Y19" s="61"/>
      <c r="Z19" s="61"/>
      <c r="AA19" s="34"/>
      <c r="AI19" s="4"/>
      <c r="AJ19" s="4"/>
      <c r="AK19" s="4"/>
      <c r="AL19" s="4"/>
      <c r="AM19" s="4"/>
      <c r="AN19" s="4"/>
      <c r="AO19" s="4"/>
      <c r="AP19" s="4"/>
      <c r="AQ19" s="4"/>
      <c r="AR19" s="35"/>
      <c r="AS19" s="35"/>
    </row>
    <row r="20" spans="1:45" s="30" customFormat="1" ht="16.5" x14ac:dyDescent="0.25">
      <c r="A20" s="2"/>
      <c r="B20" s="119">
        <v>1</v>
      </c>
      <c r="C20" s="4"/>
      <c r="D20" s="26"/>
      <c r="E20" s="26"/>
      <c r="F20" s="76">
        <v>45111</v>
      </c>
      <c r="G20" s="114">
        <v>15</v>
      </c>
      <c r="H20" s="5" t="s">
        <v>29</v>
      </c>
      <c r="I20" s="5" t="s">
        <v>247</v>
      </c>
      <c r="J20" s="6" t="s">
        <v>30</v>
      </c>
      <c r="K20" s="6"/>
      <c r="L20" s="6"/>
      <c r="M20" s="116">
        <v>700</v>
      </c>
      <c r="N20" s="7">
        <f t="shared" si="2"/>
        <v>77680</v>
      </c>
      <c r="O20" s="86"/>
      <c r="P20" s="120"/>
      <c r="Q20" s="120"/>
      <c r="R20" s="120"/>
      <c r="S20" s="120"/>
      <c r="T20" s="120"/>
      <c r="U20" s="120"/>
      <c r="V20" s="120"/>
      <c r="W20" s="120"/>
      <c r="X20" s="61"/>
      <c r="Y20" s="61"/>
      <c r="Z20" s="61"/>
      <c r="AA20" s="34"/>
      <c r="AI20" s="4"/>
      <c r="AJ20" s="4"/>
      <c r="AK20" s="4"/>
      <c r="AL20" s="4"/>
      <c r="AM20" s="4"/>
      <c r="AN20" s="4"/>
      <c r="AO20" s="4"/>
      <c r="AP20" s="4"/>
      <c r="AQ20" s="4"/>
      <c r="AR20" s="35"/>
      <c r="AS20" s="35"/>
    </row>
    <row r="21" spans="1:45" s="30" customFormat="1" ht="16.5" x14ac:dyDescent="0.25">
      <c r="A21" s="2"/>
      <c r="B21" s="119">
        <v>1</v>
      </c>
      <c r="C21" s="4"/>
      <c r="D21" s="26"/>
      <c r="E21" s="26"/>
      <c r="F21" s="76">
        <v>45112</v>
      </c>
      <c r="G21" s="114">
        <v>16</v>
      </c>
      <c r="H21" s="5" t="s">
        <v>33</v>
      </c>
      <c r="I21" s="5" t="s">
        <v>358</v>
      </c>
      <c r="J21" s="6" t="s">
        <v>34</v>
      </c>
      <c r="K21" s="6"/>
      <c r="L21" s="6"/>
      <c r="M21" s="116">
        <v>5000</v>
      </c>
      <c r="N21" s="7">
        <f t="shared" si="2"/>
        <v>82680</v>
      </c>
      <c r="O21" s="86"/>
      <c r="P21" s="120"/>
      <c r="Q21" s="120"/>
      <c r="R21" s="120"/>
      <c r="S21" s="120"/>
      <c r="T21" s="120"/>
      <c r="U21" s="120"/>
      <c r="V21" s="120"/>
      <c r="W21" s="120"/>
      <c r="X21" s="61"/>
      <c r="Y21" s="61"/>
      <c r="Z21" s="61"/>
      <c r="AA21" s="34"/>
      <c r="AI21" s="4"/>
      <c r="AJ21" s="4"/>
      <c r="AK21" s="4"/>
      <c r="AL21" s="4"/>
      <c r="AM21" s="4"/>
      <c r="AN21" s="4"/>
      <c r="AO21" s="4"/>
      <c r="AP21" s="4"/>
      <c r="AQ21" s="4"/>
      <c r="AR21" s="35"/>
      <c r="AS21" s="35"/>
    </row>
    <row r="22" spans="1:45" s="30" customFormat="1" ht="16.5" x14ac:dyDescent="0.25">
      <c r="A22" s="2"/>
      <c r="B22" s="119">
        <v>1</v>
      </c>
      <c r="C22" s="4"/>
      <c r="D22" s="26"/>
      <c r="E22" s="26"/>
      <c r="F22" s="76">
        <v>45112</v>
      </c>
      <c r="G22" s="114">
        <v>17</v>
      </c>
      <c r="H22" s="5" t="s">
        <v>35</v>
      </c>
      <c r="I22" s="5" t="s">
        <v>358</v>
      </c>
      <c r="J22" s="6" t="s">
        <v>36</v>
      </c>
      <c r="K22" s="6"/>
      <c r="L22" s="6"/>
      <c r="M22" s="116">
        <v>44000</v>
      </c>
      <c r="N22" s="7">
        <f t="shared" si="2"/>
        <v>126680</v>
      </c>
      <c r="O22" s="86"/>
      <c r="P22" s="120"/>
      <c r="Q22" s="120"/>
      <c r="R22" s="120"/>
      <c r="S22" s="120"/>
      <c r="T22" s="120"/>
      <c r="U22" s="120"/>
      <c r="V22" s="120"/>
      <c r="W22" s="120"/>
      <c r="X22" s="61"/>
      <c r="Y22" s="61"/>
      <c r="Z22" s="61"/>
      <c r="AA22" s="34"/>
      <c r="AI22" s="4"/>
      <c r="AJ22" s="4"/>
      <c r="AK22" s="4"/>
      <c r="AL22" s="4"/>
      <c r="AM22" s="4"/>
      <c r="AN22" s="4"/>
      <c r="AO22" s="4"/>
      <c r="AP22" s="4"/>
      <c r="AQ22" s="4"/>
      <c r="AR22" s="35"/>
      <c r="AS22" s="35"/>
    </row>
    <row r="23" spans="1:45" s="30" customFormat="1" ht="16.5" x14ac:dyDescent="0.25">
      <c r="A23" s="2"/>
      <c r="B23" s="119">
        <v>1</v>
      </c>
      <c r="C23" s="4"/>
      <c r="D23" s="26"/>
      <c r="E23" s="26"/>
      <c r="F23" s="76">
        <v>45112</v>
      </c>
      <c r="G23" s="114">
        <v>18</v>
      </c>
      <c r="H23" s="5" t="s">
        <v>357</v>
      </c>
      <c r="I23" s="5" t="s">
        <v>357</v>
      </c>
      <c r="J23" s="6" t="s">
        <v>37</v>
      </c>
      <c r="K23" s="6"/>
      <c r="L23" s="6"/>
      <c r="M23" s="116">
        <v>6000</v>
      </c>
      <c r="N23" s="7">
        <f t="shared" si="2"/>
        <v>132680</v>
      </c>
      <c r="O23" s="86"/>
      <c r="P23" s="120">
        <v>6000</v>
      </c>
      <c r="Q23" s="120"/>
      <c r="R23" s="120"/>
      <c r="S23" s="120"/>
      <c r="T23" s="120"/>
      <c r="U23" s="120"/>
      <c r="V23" s="120"/>
      <c r="W23" s="120"/>
      <c r="X23" s="61"/>
      <c r="Y23" s="61"/>
      <c r="Z23" s="61"/>
      <c r="AA23" s="34"/>
      <c r="AI23" s="4"/>
      <c r="AJ23" s="4"/>
      <c r="AK23" s="4"/>
      <c r="AL23" s="4"/>
      <c r="AM23" s="4"/>
      <c r="AN23" s="4"/>
      <c r="AO23" s="4"/>
      <c r="AP23" s="4"/>
      <c r="AQ23" s="4"/>
      <c r="AR23" s="35"/>
      <c r="AS23" s="35"/>
    </row>
    <row r="24" spans="1:45" s="30" customFormat="1" ht="16.5" x14ac:dyDescent="0.25">
      <c r="A24" s="2"/>
      <c r="B24" s="119">
        <v>1</v>
      </c>
      <c r="C24" s="4"/>
      <c r="D24" s="26"/>
      <c r="E24" s="26"/>
      <c r="F24" s="76">
        <v>45112</v>
      </c>
      <c r="G24" s="114">
        <v>19</v>
      </c>
      <c r="H24" s="5" t="s">
        <v>38</v>
      </c>
      <c r="I24" s="5" t="s">
        <v>358</v>
      </c>
      <c r="J24" s="6" t="s">
        <v>39</v>
      </c>
      <c r="K24" s="6"/>
      <c r="L24" s="6"/>
      <c r="M24" s="116">
        <v>1560</v>
      </c>
      <c r="N24" s="7">
        <f t="shared" si="2"/>
        <v>134240</v>
      </c>
      <c r="O24" s="86"/>
      <c r="P24" s="120"/>
      <c r="Q24" s="120"/>
      <c r="R24" s="120"/>
      <c r="S24" s="120"/>
      <c r="T24" s="120"/>
      <c r="U24" s="120"/>
      <c r="V24" s="120"/>
      <c r="W24" s="120">
        <v>1560</v>
      </c>
      <c r="X24" s="61"/>
      <c r="Y24" s="61"/>
      <c r="Z24" s="61"/>
      <c r="AA24" s="34"/>
      <c r="AI24" s="4"/>
      <c r="AJ24" s="4"/>
      <c r="AK24" s="4"/>
      <c r="AL24" s="4"/>
      <c r="AM24" s="4"/>
      <c r="AN24" s="4"/>
      <c r="AO24" s="4"/>
      <c r="AP24" s="4"/>
      <c r="AQ24" s="4"/>
      <c r="AR24" s="35"/>
      <c r="AS24" s="35"/>
    </row>
    <row r="25" spans="1:45" s="30" customFormat="1" ht="16.5" x14ac:dyDescent="0.25">
      <c r="A25" s="2"/>
      <c r="B25" s="119">
        <v>1</v>
      </c>
      <c r="C25" s="4"/>
      <c r="D25" s="26"/>
      <c r="E25" s="26"/>
      <c r="F25" s="76">
        <v>45113</v>
      </c>
      <c r="G25" s="114">
        <v>20</v>
      </c>
      <c r="H25" s="5" t="s">
        <v>10</v>
      </c>
      <c r="I25" s="5" t="s">
        <v>357</v>
      </c>
      <c r="J25" s="6" t="s">
        <v>40</v>
      </c>
      <c r="K25" s="6"/>
      <c r="L25" s="6"/>
      <c r="M25" s="116">
        <v>2700</v>
      </c>
      <c r="N25" s="7">
        <f t="shared" si="2"/>
        <v>136940</v>
      </c>
      <c r="O25" s="86"/>
      <c r="P25" s="120">
        <v>2700</v>
      </c>
      <c r="Q25" s="120"/>
      <c r="R25" s="120"/>
      <c r="S25" s="120"/>
      <c r="T25" s="120"/>
      <c r="U25" s="120"/>
      <c r="V25" s="120"/>
      <c r="W25" s="120"/>
      <c r="X25" s="61"/>
      <c r="Y25" s="61"/>
      <c r="Z25" s="61"/>
      <c r="AA25" s="34"/>
      <c r="AI25" s="4"/>
      <c r="AJ25" s="4"/>
      <c r="AK25" s="4"/>
      <c r="AL25" s="4"/>
      <c r="AM25" s="4"/>
      <c r="AN25" s="4"/>
      <c r="AO25" s="4"/>
      <c r="AP25" s="4"/>
      <c r="AQ25" s="4"/>
      <c r="AR25" s="35"/>
      <c r="AS25" s="35"/>
    </row>
    <row r="26" spans="1:45" s="30" customFormat="1" ht="16.5" x14ac:dyDescent="0.25">
      <c r="A26" s="2"/>
      <c r="B26" s="119">
        <v>1</v>
      </c>
      <c r="C26" s="4"/>
      <c r="D26" s="26"/>
      <c r="E26" s="26"/>
      <c r="F26" s="76">
        <v>45115</v>
      </c>
      <c r="G26" s="114">
        <v>21</v>
      </c>
      <c r="H26" s="5" t="s">
        <v>41</v>
      </c>
      <c r="I26" s="5" t="s">
        <v>356</v>
      </c>
      <c r="J26" s="6" t="s">
        <v>42</v>
      </c>
      <c r="K26" s="6"/>
      <c r="L26" s="6"/>
      <c r="M26" s="116">
        <v>17500</v>
      </c>
      <c r="N26" s="7">
        <f t="shared" si="2"/>
        <v>154440</v>
      </c>
      <c r="O26" s="86"/>
      <c r="P26" s="120"/>
      <c r="Q26" s="120"/>
      <c r="R26" s="120"/>
      <c r="S26" s="120"/>
      <c r="T26" s="120"/>
      <c r="U26" s="120"/>
      <c r="V26" s="120"/>
      <c r="W26" s="120"/>
      <c r="X26" s="61"/>
      <c r="Y26" s="61"/>
      <c r="Z26" s="61"/>
      <c r="AA26" s="34"/>
      <c r="AI26" s="4"/>
      <c r="AJ26" s="4"/>
      <c r="AK26" s="4"/>
      <c r="AL26" s="4"/>
      <c r="AM26" s="4"/>
      <c r="AN26" s="4"/>
      <c r="AO26" s="4"/>
      <c r="AP26" s="4"/>
      <c r="AQ26" s="4"/>
      <c r="AR26" s="35"/>
      <c r="AS26" s="35"/>
    </row>
    <row r="27" spans="1:45" s="30" customFormat="1" ht="16.5" x14ac:dyDescent="0.25">
      <c r="A27" s="2"/>
      <c r="B27" s="119">
        <v>1</v>
      </c>
      <c r="C27" s="4"/>
      <c r="D27" s="26"/>
      <c r="E27" s="26"/>
      <c r="F27" s="76">
        <v>45119</v>
      </c>
      <c r="G27" s="114">
        <v>22</v>
      </c>
      <c r="H27" s="5" t="s">
        <v>8</v>
      </c>
      <c r="I27" s="5" t="s">
        <v>247</v>
      </c>
      <c r="J27" s="6" t="s">
        <v>43</v>
      </c>
      <c r="K27" s="6"/>
      <c r="L27" s="6"/>
      <c r="M27" s="116">
        <v>4400</v>
      </c>
      <c r="N27" s="7">
        <f t="shared" si="2"/>
        <v>158840</v>
      </c>
      <c r="O27" s="86"/>
      <c r="P27" s="120"/>
      <c r="Q27" s="120"/>
      <c r="R27" s="120"/>
      <c r="S27" s="120"/>
      <c r="T27" s="120"/>
      <c r="U27" s="120"/>
      <c r="V27" s="120"/>
      <c r="W27" s="120"/>
      <c r="X27" s="61"/>
      <c r="Y27" s="61"/>
      <c r="Z27" s="61"/>
      <c r="AA27" s="34"/>
      <c r="AI27" s="4"/>
      <c r="AJ27" s="4"/>
      <c r="AK27" s="4"/>
      <c r="AL27" s="4"/>
      <c r="AM27" s="4"/>
      <c r="AN27" s="4"/>
      <c r="AO27" s="4"/>
      <c r="AP27" s="4"/>
      <c r="AQ27" s="4"/>
      <c r="AR27" s="35"/>
      <c r="AS27" s="35"/>
    </row>
    <row r="28" spans="1:45" s="30" customFormat="1" ht="16.5" x14ac:dyDescent="0.25">
      <c r="A28" s="2"/>
      <c r="B28" s="119">
        <v>1</v>
      </c>
      <c r="C28" s="4"/>
      <c r="D28" s="26"/>
      <c r="E28" s="26"/>
      <c r="F28" s="76">
        <v>45119</v>
      </c>
      <c r="G28" s="114">
        <v>23</v>
      </c>
      <c r="H28" s="5" t="s">
        <v>357</v>
      </c>
      <c r="I28" s="5" t="s">
        <v>357</v>
      </c>
      <c r="J28" s="6" t="s">
        <v>44</v>
      </c>
      <c r="K28" s="6"/>
      <c r="L28" s="6"/>
      <c r="M28" s="116">
        <v>2500</v>
      </c>
      <c r="N28" s="7">
        <f t="shared" si="2"/>
        <v>161340</v>
      </c>
      <c r="O28" s="86"/>
      <c r="P28" s="120">
        <v>2500</v>
      </c>
      <c r="Q28" s="120"/>
      <c r="R28" s="120"/>
      <c r="S28" s="120"/>
      <c r="T28" s="120"/>
      <c r="U28" s="120"/>
      <c r="V28" s="120"/>
      <c r="W28" s="120"/>
      <c r="X28" s="61"/>
      <c r="Y28" s="61"/>
      <c r="Z28" s="61"/>
      <c r="AA28" s="34"/>
      <c r="AI28" s="4"/>
      <c r="AJ28" s="4"/>
      <c r="AK28" s="4"/>
      <c r="AL28" s="4"/>
      <c r="AM28" s="4"/>
      <c r="AN28" s="4"/>
      <c r="AO28" s="4"/>
      <c r="AP28" s="4"/>
      <c r="AQ28" s="4"/>
      <c r="AR28" s="35"/>
      <c r="AS28" s="35"/>
    </row>
    <row r="29" spans="1:45" s="30" customFormat="1" ht="16.5" x14ac:dyDescent="0.25">
      <c r="A29" s="2"/>
      <c r="B29" s="119">
        <v>1</v>
      </c>
      <c r="C29" s="4"/>
      <c r="D29" s="26"/>
      <c r="E29" s="26"/>
      <c r="F29" s="76">
        <v>45120</v>
      </c>
      <c r="G29" s="114">
        <v>24</v>
      </c>
      <c r="H29" s="5" t="s">
        <v>45</v>
      </c>
      <c r="I29" s="5" t="s">
        <v>356</v>
      </c>
      <c r="J29" s="6" t="s">
        <v>46</v>
      </c>
      <c r="K29" s="6"/>
      <c r="L29" s="6"/>
      <c r="M29" s="116">
        <v>1000</v>
      </c>
      <c r="N29" s="7">
        <f t="shared" si="2"/>
        <v>162340</v>
      </c>
      <c r="O29" s="86"/>
      <c r="P29" s="120"/>
      <c r="Q29" s="120"/>
      <c r="R29" s="120"/>
      <c r="S29" s="120"/>
      <c r="T29" s="120"/>
      <c r="U29" s="120"/>
      <c r="V29" s="120"/>
      <c r="W29" s="120"/>
      <c r="X29" s="61"/>
      <c r="Y29" s="61"/>
      <c r="Z29" s="61"/>
      <c r="AA29" s="34"/>
      <c r="AI29" s="4"/>
      <c r="AJ29" s="4"/>
      <c r="AK29" s="4"/>
      <c r="AL29" s="4"/>
      <c r="AM29" s="4"/>
      <c r="AN29" s="4"/>
      <c r="AO29" s="4"/>
      <c r="AP29" s="4"/>
      <c r="AQ29" s="4"/>
      <c r="AR29" s="35"/>
      <c r="AS29" s="35"/>
    </row>
    <row r="30" spans="1:45" s="30" customFormat="1" ht="16.5" x14ac:dyDescent="0.25">
      <c r="A30" s="2"/>
      <c r="B30" s="119">
        <v>1</v>
      </c>
      <c r="C30" s="4"/>
      <c r="D30" s="26"/>
      <c r="E30" s="26"/>
      <c r="F30" s="76">
        <v>45122</v>
      </c>
      <c r="G30" s="114">
        <v>25</v>
      </c>
      <c r="H30" s="5" t="s">
        <v>41</v>
      </c>
      <c r="I30" s="5" t="s">
        <v>356</v>
      </c>
      <c r="J30" s="6" t="s">
        <v>47</v>
      </c>
      <c r="K30" s="6"/>
      <c r="L30" s="6"/>
      <c r="M30" s="116">
        <v>16400</v>
      </c>
      <c r="N30" s="7">
        <f t="shared" si="2"/>
        <v>178740</v>
      </c>
      <c r="O30" s="86"/>
      <c r="P30" s="120"/>
      <c r="Q30" s="120"/>
      <c r="R30" s="120"/>
      <c r="S30" s="120"/>
      <c r="T30" s="120"/>
      <c r="U30" s="120"/>
      <c r="V30" s="120"/>
      <c r="W30" s="120"/>
      <c r="X30" s="61"/>
      <c r="Y30" s="61"/>
      <c r="Z30" s="61"/>
      <c r="AA30" s="34"/>
      <c r="AI30" s="4"/>
      <c r="AJ30" s="4"/>
      <c r="AK30" s="4"/>
      <c r="AL30" s="4"/>
      <c r="AM30" s="4"/>
      <c r="AN30" s="4"/>
      <c r="AO30" s="4"/>
      <c r="AP30" s="4"/>
      <c r="AQ30" s="4"/>
      <c r="AR30" s="35"/>
      <c r="AS30" s="35"/>
    </row>
    <row r="31" spans="1:45" s="30" customFormat="1" ht="16.5" x14ac:dyDescent="0.25">
      <c r="A31" s="2"/>
      <c r="B31" s="119">
        <v>1</v>
      </c>
      <c r="C31" s="4"/>
      <c r="D31" s="26"/>
      <c r="E31" s="26"/>
      <c r="F31" s="76">
        <v>45125</v>
      </c>
      <c r="G31" s="114">
        <v>26</v>
      </c>
      <c r="H31" s="5" t="s">
        <v>48</v>
      </c>
      <c r="I31" s="5" t="s">
        <v>357</v>
      </c>
      <c r="J31" s="6" t="s">
        <v>49</v>
      </c>
      <c r="K31" s="6"/>
      <c r="L31" s="6"/>
      <c r="M31" s="116">
        <v>2500</v>
      </c>
      <c r="N31" s="7">
        <f t="shared" si="2"/>
        <v>181240</v>
      </c>
      <c r="O31" s="86"/>
      <c r="P31" s="120">
        <v>2500</v>
      </c>
      <c r="Q31" s="120"/>
      <c r="R31" s="120"/>
      <c r="S31" s="120"/>
      <c r="T31" s="120"/>
      <c r="U31" s="120"/>
      <c r="V31" s="120"/>
      <c r="W31" s="120"/>
      <c r="X31" s="61"/>
      <c r="Y31" s="61"/>
      <c r="Z31" s="61"/>
      <c r="AA31" s="34"/>
      <c r="AI31" s="4"/>
      <c r="AJ31" s="4"/>
      <c r="AK31" s="4"/>
      <c r="AL31" s="4"/>
      <c r="AM31" s="4"/>
      <c r="AN31" s="4"/>
      <c r="AO31" s="4"/>
      <c r="AP31" s="4"/>
      <c r="AQ31" s="4"/>
      <c r="AR31" s="35"/>
      <c r="AS31" s="35"/>
    </row>
    <row r="32" spans="1:45" s="30" customFormat="1" ht="16.5" x14ac:dyDescent="0.25">
      <c r="A32" s="2"/>
      <c r="B32" s="119">
        <v>1</v>
      </c>
      <c r="C32" s="4"/>
      <c r="D32" s="26"/>
      <c r="E32" s="26"/>
      <c r="F32" s="76">
        <v>45127</v>
      </c>
      <c r="G32" s="114">
        <v>27</v>
      </c>
      <c r="H32" s="5" t="s">
        <v>14</v>
      </c>
      <c r="I32" s="5" t="s">
        <v>247</v>
      </c>
      <c r="J32" s="6" t="s">
        <v>50</v>
      </c>
      <c r="K32" s="6"/>
      <c r="L32" s="6"/>
      <c r="M32" s="116">
        <v>56580</v>
      </c>
      <c r="N32" s="7">
        <f t="shared" si="2"/>
        <v>237820</v>
      </c>
      <c r="O32" s="86"/>
      <c r="P32" s="120"/>
      <c r="Q32" s="120"/>
      <c r="R32" s="120"/>
      <c r="S32" s="120"/>
      <c r="T32" s="120"/>
      <c r="U32" s="120"/>
      <c r="V32" s="120"/>
      <c r="W32" s="120"/>
      <c r="X32" s="61"/>
      <c r="Y32" s="61"/>
      <c r="Z32" s="61"/>
      <c r="AA32" s="34"/>
      <c r="AI32" s="4"/>
      <c r="AJ32" s="4"/>
      <c r="AK32" s="4"/>
      <c r="AL32" s="4"/>
      <c r="AM32" s="4"/>
      <c r="AN32" s="4"/>
      <c r="AO32" s="4"/>
      <c r="AP32" s="4"/>
      <c r="AQ32" s="4"/>
      <c r="AR32" s="35"/>
      <c r="AS32" s="35"/>
    </row>
    <row r="33" spans="1:45" s="30" customFormat="1" ht="16.5" x14ac:dyDescent="0.25">
      <c r="A33" s="2"/>
      <c r="B33" s="119">
        <v>1</v>
      </c>
      <c r="C33" s="4"/>
      <c r="D33" s="26"/>
      <c r="E33" s="26"/>
      <c r="F33" s="76">
        <v>45127</v>
      </c>
      <c r="G33" s="114">
        <v>28</v>
      </c>
      <c r="H33" s="5" t="s">
        <v>10</v>
      </c>
      <c r="I33" s="5" t="s">
        <v>357</v>
      </c>
      <c r="J33" s="6" t="s">
        <v>51</v>
      </c>
      <c r="K33" s="6"/>
      <c r="L33" s="6"/>
      <c r="M33" s="116">
        <v>6750</v>
      </c>
      <c r="N33" s="7">
        <f t="shared" si="2"/>
        <v>244570</v>
      </c>
      <c r="O33" s="86"/>
      <c r="P33" s="120">
        <v>6750</v>
      </c>
      <c r="Q33" s="120"/>
      <c r="R33" s="120"/>
      <c r="S33" s="120"/>
      <c r="T33" s="120"/>
      <c r="U33" s="120"/>
      <c r="V33" s="120"/>
      <c r="W33" s="120"/>
      <c r="X33" s="61"/>
      <c r="Y33" s="61"/>
      <c r="Z33" s="61"/>
      <c r="AA33" s="34"/>
      <c r="AI33" s="4"/>
      <c r="AJ33" s="4"/>
      <c r="AK33" s="4"/>
      <c r="AL33" s="4"/>
      <c r="AM33" s="4"/>
      <c r="AN33" s="4"/>
      <c r="AO33" s="4"/>
      <c r="AP33" s="4"/>
      <c r="AQ33" s="4"/>
      <c r="AR33" s="35"/>
      <c r="AS33" s="35"/>
    </row>
    <row r="34" spans="1:45" s="30" customFormat="1" ht="16.5" x14ac:dyDescent="0.25">
      <c r="A34" s="2"/>
      <c r="B34" s="119">
        <v>1</v>
      </c>
      <c r="C34" s="4"/>
      <c r="D34" s="26"/>
      <c r="E34" s="26"/>
      <c r="F34" s="76">
        <v>45128</v>
      </c>
      <c r="G34" s="114">
        <v>29</v>
      </c>
      <c r="H34" s="5" t="s">
        <v>52</v>
      </c>
      <c r="I34" s="5" t="s">
        <v>356</v>
      </c>
      <c r="J34" s="6" t="s">
        <v>53</v>
      </c>
      <c r="K34" s="6"/>
      <c r="L34" s="6"/>
      <c r="M34" s="116">
        <v>1000</v>
      </c>
      <c r="N34" s="7">
        <f t="shared" si="2"/>
        <v>245570</v>
      </c>
      <c r="O34" s="86"/>
      <c r="P34" s="120"/>
      <c r="Q34" s="120"/>
      <c r="R34" s="120"/>
      <c r="S34" s="120"/>
      <c r="T34" s="120"/>
      <c r="U34" s="120"/>
      <c r="V34" s="120"/>
      <c r="W34" s="120"/>
      <c r="X34" s="61"/>
      <c r="Y34" s="61"/>
      <c r="Z34" s="61"/>
      <c r="AA34" s="34"/>
      <c r="AI34" s="4"/>
      <c r="AJ34" s="4"/>
      <c r="AK34" s="4"/>
      <c r="AL34" s="4"/>
      <c r="AM34" s="4"/>
      <c r="AN34" s="4"/>
      <c r="AO34" s="4"/>
      <c r="AP34" s="4"/>
      <c r="AQ34" s="4"/>
      <c r="AR34" s="35"/>
      <c r="AS34" s="35"/>
    </row>
    <row r="35" spans="1:45" s="30" customFormat="1" ht="16.5" x14ac:dyDescent="0.25">
      <c r="A35" s="2"/>
      <c r="B35" s="119">
        <v>1</v>
      </c>
      <c r="C35" s="4"/>
      <c r="D35" s="26"/>
      <c r="E35" s="26"/>
      <c r="F35" s="76">
        <v>45128</v>
      </c>
      <c r="G35" s="114">
        <v>30</v>
      </c>
      <c r="H35" s="5" t="s">
        <v>10</v>
      </c>
      <c r="I35" s="5" t="s">
        <v>357</v>
      </c>
      <c r="J35" s="6" t="s">
        <v>54</v>
      </c>
      <c r="K35" s="6"/>
      <c r="L35" s="6"/>
      <c r="M35" s="116">
        <v>3000</v>
      </c>
      <c r="N35" s="7">
        <f t="shared" si="2"/>
        <v>248570</v>
      </c>
      <c r="O35" s="86"/>
      <c r="P35" s="120">
        <v>3000</v>
      </c>
      <c r="Q35" s="120"/>
      <c r="R35" s="120"/>
      <c r="S35" s="120"/>
      <c r="T35" s="120"/>
      <c r="U35" s="120"/>
      <c r="V35" s="120"/>
      <c r="W35" s="120"/>
      <c r="X35" s="61"/>
      <c r="Y35" s="61"/>
      <c r="Z35" s="61"/>
      <c r="AA35" s="34"/>
      <c r="AI35" s="4"/>
      <c r="AJ35" s="4"/>
      <c r="AK35" s="4"/>
      <c r="AL35" s="4"/>
      <c r="AM35" s="4"/>
      <c r="AN35" s="4"/>
      <c r="AO35" s="4"/>
      <c r="AP35" s="4"/>
      <c r="AQ35" s="4"/>
      <c r="AR35" s="35"/>
      <c r="AS35" s="35"/>
    </row>
    <row r="36" spans="1:45" s="30" customFormat="1" ht="16.5" x14ac:dyDescent="0.25">
      <c r="A36" s="2"/>
      <c r="B36" s="119">
        <v>1</v>
      </c>
      <c r="C36" s="4"/>
      <c r="D36" s="26"/>
      <c r="E36" s="26"/>
      <c r="F36" s="76">
        <v>45129</v>
      </c>
      <c r="G36" s="114">
        <v>31</v>
      </c>
      <c r="H36" s="5" t="s">
        <v>41</v>
      </c>
      <c r="I36" s="5" t="s">
        <v>356</v>
      </c>
      <c r="J36" s="6" t="s">
        <v>55</v>
      </c>
      <c r="K36" s="6"/>
      <c r="L36" s="6"/>
      <c r="M36" s="116">
        <v>25100</v>
      </c>
      <c r="N36" s="7">
        <f t="shared" si="2"/>
        <v>273670</v>
      </c>
      <c r="O36" s="86"/>
      <c r="P36" s="120"/>
      <c r="Q36" s="120"/>
      <c r="R36" s="120"/>
      <c r="S36" s="120"/>
      <c r="T36" s="120"/>
      <c r="U36" s="120"/>
      <c r="V36" s="120"/>
      <c r="W36" s="120"/>
      <c r="X36" s="61"/>
      <c r="Y36" s="61"/>
      <c r="Z36" s="61"/>
      <c r="AA36" s="34"/>
      <c r="AI36" s="4"/>
      <c r="AJ36" s="4"/>
      <c r="AK36" s="4"/>
      <c r="AL36" s="4"/>
      <c r="AM36" s="4"/>
      <c r="AN36" s="4"/>
      <c r="AO36" s="4"/>
      <c r="AP36" s="4"/>
      <c r="AQ36" s="4"/>
      <c r="AR36" s="35"/>
      <c r="AS36" s="35"/>
    </row>
    <row r="37" spans="1:45" s="30" customFormat="1" ht="16.5" x14ac:dyDescent="0.25">
      <c r="A37" s="2"/>
      <c r="B37" s="119">
        <v>1</v>
      </c>
      <c r="C37" s="4"/>
      <c r="D37" s="26"/>
      <c r="E37" s="26"/>
      <c r="F37" s="76">
        <v>45131</v>
      </c>
      <c r="G37" s="114">
        <v>32</v>
      </c>
      <c r="H37" s="5" t="s">
        <v>56</v>
      </c>
      <c r="I37" s="5" t="s">
        <v>247</v>
      </c>
      <c r="J37" s="6" t="s">
        <v>57</v>
      </c>
      <c r="K37" s="6"/>
      <c r="L37" s="6"/>
      <c r="M37" s="116">
        <v>12600</v>
      </c>
      <c r="N37" s="7">
        <f t="shared" si="2"/>
        <v>286270</v>
      </c>
      <c r="O37" s="86"/>
      <c r="P37" s="120"/>
      <c r="Q37" s="120"/>
      <c r="R37" s="120"/>
      <c r="S37" s="120"/>
      <c r="T37" s="120"/>
      <c r="U37" s="120"/>
      <c r="V37" s="120"/>
      <c r="W37" s="120"/>
      <c r="X37" s="61"/>
      <c r="Y37" s="61"/>
      <c r="Z37" s="61"/>
      <c r="AA37" s="34"/>
      <c r="AI37" s="4"/>
      <c r="AJ37" s="4"/>
      <c r="AK37" s="4"/>
      <c r="AL37" s="4"/>
      <c r="AM37" s="4"/>
      <c r="AN37" s="4"/>
      <c r="AO37" s="4"/>
      <c r="AP37" s="4"/>
      <c r="AQ37" s="4"/>
      <c r="AR37" s="35"/>
      <c r="AS37" s="35"/>
    </row>
    <row r="38" spans="1:45" s="30" customFormat="1" ht="13.5" customHeight="1" x14ac:dyDescent="0.25">
      <c r="A38" s="2"/>
      <c r="B38" s="119">
        <v>1</v>
      </c>
      <c r="C38" s="4"/>
      <c r="D38" s="26"/>
      <c r="E38" s="26"/>
      <c r="F38" s="76">
        <v>45131</v>
      </c>
      <c r="G38" s="114">
        <v>33</v>
      </c>
      <c r="H38" s="5" t="s">
        <v>58</v>
      </c>
      <c r="I38" s="5" t="s">
        <v>247</v>
      </c>
      <c r="J38" s="6" t="s">
        <v>59</v>
      </c>
      <c r="K38" s="6"/>
      <c r="L38" s="6"/>
      <c r="M38" s="116">
        <v>15000</v>
      </c>
      <c r="N38" s="7">
        <f t="shared" si="2"/>
        <v>301270</v>
      </c>
      <c r="O38" s="86"/>
      <c r="P38" s="120"/>
      <c r="Q38" s="120"/>
      <c r="R38" s="120"/>
      <c r="S38" s="120"/>
      <c r="T38" s="120"/>
      <c r="U38" s="120"/>
      <c r="V38" s="120"/>
      <c r="W38" s="120"/>
      <c r="X38" s="61"/>
      <c r="Y38" s="61"/>
      <c r="Z38" s="61"/>
      <c r="AA38" s="34"/>
      <c r="AI38" s="4"/>
      <c r="AJ38" s="4"/>
      <c r="AK38" s="4"/>
      <c r="AL38" s="4"/>
      <c r="AM38" s="4"/>
      <c r="AN38" s="4"/>
      <c r="AO38" s="4"/>
      <c r="AP38" s="4"/>
      <c r="AQ38" s="4"/>
      <c r="AR38" s="35"/>
      <c r="AS38" s="35"/>
    </row>
    <row r="39" spans="1:45" s="30" customFormat="1" ht="13.5" customHeight="1" x14ac:dyDescent="0.25">
      <c r="A39" s="2"/>
      <c r="B39" s="119">
        <v>1</v>
      </c>
      <c r="C39" s="4"/>
      <c r="D39" s="26"/>
      <c r="E39" s="26"/>
      <c r="F39" s="76">
        <v>45131</v>
      </c>
      <c r="G39" s="114">
        <v>34</v>
      </c>
      <c r="H39" s="5" t="s">
        <v>60</v>
      </c>
      <c r="I39" s="5" t="s">
        <v>247</v>
      </c>
      <c r="J39" s="6" t="s">
        <v>61</v>
      </c>
      <c r="K39" s="6"/>
      <c r="L39" s="6"/>
      <c r="M39" s="116">
        <v>9500</v>
      </c>
      <c r="N39" s="7">
        <f t="shared" si="2"/>
        <v>310770</v>
      </c>
      <c r="O39" s="86"/>
      <c r="P39" s="120"/>
      <c r="Q39" s="120"/>
      <c r="R39" s="120"/>
      <c r="S39" s="120"/>
      <c r="T39" s="120"/>
      <c r="U39" s="120"/>
      <c r="V39" s="120"/>
      <c r="W39" s="120"/>
      <c r="X39" s="61"/>
      <c r="Y39" s="61"/>
      <c r="Z39" s="61"/>
      <c r="AA39" s="34"/>
      <c r="AI39" s="4"/>
      <c r="AJ39" s="4"/>
      <c r="AK39" s="4"/>
      <c r="AL39" s="4"/>
      <c r="AM39" s="4"/>
      <c r="AN39" s="4"/>
      <c r="AO39" s="4"/>
      <c r="AP39" s="4"/>
      <c r="AQ39" s="4"/>
      <c r="AR39" s="35"/>
      <c r="AS39" s="35"/>
    </row>
    <row r="40" spans="1:45" s="30" customFormat="1" ht="13.5" customHeight="1" x14ac:dyDescent="0.25">
      <c r="A40" s="2"/>
      <c r="B40" s="119">
        <v>1</v>
      </c>
      <c r="C40" s="4"/>
      <c r="D40" s="26"/>
      <c r="E40" s="26"/>
      <c r="F40" s="76">
        <v>45134</v>
      </c>
      <c r="G40" s="114">
        <v>35</v>
      </c>
      <c r="H40" s="5" t="s">
        <v>16</v>
      </c>
      <c r="I40" s="5" t="s">
        <v>356</v>
      </c>
      <c r="J40" s="6" t="s">
        <v>62</v>
      </c>
      <c r="K40" s="6"/>
      <c r="L40" s="6"/>
      <c r="M40" s="116">
        <v>2000</v>
      </c>
      <c r="N40" s="7">
        <f t="shared" si="2"/>
        <v>312770</v>
      </c>
      <c r="O40" s="96"/>
      <c r="P40" s="7"/>
      <c r="Q40" s="7"/>
      <c r="R40" s="7"/>
      <c r="S40" s="7"/>
      <c r="T40" s="7"/>
      <c r="U40" s="7"/>
      <c r="V40" s="120"/>
      <c r="W40" s="120"/>
      <c r="X40" s="61"/>
      <c r="Y40" s="61"/>
      <c r="Z40" s="61"/>
      <c r="AA40" s="34"/>
      <c r="AI40" s="4"/>
      <c r="AJ40" s="4"/>
      <c r="AK40" s="4"/>
      <c r="AL40" s="4"/>
      <c r="AM40" s="4"/>
      <c r="AN40" s="4"/>
      <c r="AO40" s="4"/>
      <c r="AP40" s="4"/>
      <c r="AQ40" s="4"/>
      <c r="AR40" s="35"/>
      <c r="AS40" s="35"/>
    </row>
    <row r="41" spans="1:45" s="30" customFormat="1" ht="12.75" customHeight="1" x14ac:dyDescent="0.25">
      <c r="A41" s="2"/>
      <c r="B41" s="119">
        <v>1</v>
      </c>
      <c r="C41" s="4"/>
      <c r="D41" s="26"/>
      <c r="E41" s="26"/>
      <c r="F41" s="76">
        <v>45136</v>
      </c>
      <c r="G41" s="114">
        <v>36</v>
      </c>
      <c r="H41" s="5" t="s">
        <v>16</v>
      </c>
      <c r="I41" s="5" t="s">
        <v>356</v>
      </c>
      <c r="J41" s="6" t="s">
        <v>63</v>
      </c>
      <c r="K41" s="6"/>
      <c r="L41" s="6"/>
      <c r="M41" s="116">
        <v>41600</v>
      </c>
      <c r="N41" s="7">
        <f t="shared" si="2"/>
        <v>354370</v>
      </c>
      <c r="O41" s="86"/>
      <c r="P41" s="120"/>
      <c r="Q41" s="120"/>
      <c r="R41" s="120"/>
      <c r="S41" s="120"/>
      <c r="T41" s="120"/>
      <c r="U41" s="120"/>
      <c r="V41" s="120"/>
      <c r="W41" s="120"/>
      <c r="X41" s="61"/>
      <c r="Y41" s="61"/>
      <c r="Z41" s="61"/>
      <c r="AA41" s="34"/>
      <c r="AI41" s="4"/>
      <c r="AJ41" s="4"/>
      <c r="AK41" s="4"/>
      <c r="AL41" s="4"/>
      <c r="AM41" s="4"/>
      <c r="AN41" s="4"/>
      <c r="AO41" s="4"/>
      <c r="AP41" s="4"/>
      <c r="AQ41" s="4"/>
      <c r="AR41" s="35"/>
      <c r="AS41" s="35"/>
    </row>
    <row r="42" spans="1:45" s="30" customFormat="1" ht="12.75" customHeight="1" x14ac:dyDescent="0.25">
      <c r="A42" s="2"/>
      <c r="B42" s="119">
        <v>1</v>
      </c>
      <c r="C42" s="4"/>
      <c r="D42" s="26"/>
      <c r="E42" s="26"/>
      <c r="F42" s="76">
        <v>45133</v>
      </c>
      <c r="G42" s="114">
        <v>37</v>
      </c>
      <c r="H42" s="5" t="s">
        <v>64</v>
      </c>
      <c r="I42" s="5" t="s">
        <v>340</v>
      </c>
      <c r="J42" s="6" t="s">
        <v>65</v>
      </c>
      <c r="K42" s="6"/>
      <c r="L42" s="6"/>
      <c r="M42" s="116">
        <v>1000</v>
      </c>
      <c r="N42" s="7">
        <f t="shared" si="2"/>
        <v>355370</v>
      </c>
      <c r="O42" s="86"/>
      <c r="P42" s="120"/>
      <c r="Q42" s="120"/>
      <c r="R42" s="120"/>
      <c r="S42" s="120"/>
      <c r="T42" s="120"/>
      <c r="U42" s="120"/>
      <c r="V42" s="120"/>
      <c r="W42" s="120"/>
      <c r="X42" s="61"/>
      <c r="Y42" s="61"/>
      <c r="Z42" s="61"/>
      <c r="AA42" s="34"/>
      <c r="AI42" s="4"/>
      <c r="AJ42" s="4"/>
      <c r="AK42" s="4"/>
      <c r="AL42" s="4"/>
      <c r="AM42" s="4"/>
      <c r="AN42" s="4"/>
      <c r="AO42" s="4"/>
      <c r="AP42" s="4"/>
      <c r="AQ42" s="4"/>
      <c r="AR42" s="35"/>
      <c r="AS42" s="35"/>
    </row>
    <row r="43" spans="1:45" s="30" customFormat="1" ht="12.75" customHeight="1" x14ac:dyDescent="0.25">
      <c r="A43" s="2"/>
      <c r="B43" s="119">
        <v>1</v>
      </c>
      <c r="C43" s="4"/>
      <c r="D43" s="26"/>
      <c r="E43" s="26"/>
      <c r="F43" s="76">
        <v>45134</v>
      </c>
      <c r="G43" s="114">
        <v>38</v>
      </c>
      <c r="H43" s="5" t="s">
        <v>10</v>
      </c>
      <c r="I43" s="5" t="s">
        <v>357</v>
      </c>
      <c r="J43" s="6" t="s">
        <v>66</v>
      </c>
      <c r="K43" s="6"/>
      <c r="L43" s="6"/>
      <c r="M43" s="116">
        <v>2500</v>
      </c>
      <c r="N43" s="7">
        <f t="shared" si="2"/>
        <v>357870</v>
      </c>
      <c r="O43" s="86"/>
      <c r="P43" s="120">
        <v>2500</v>
      </c>
      <c r="Q43" s="120"/>
      <c r="R43" s="120"/>
      <c r="S43" s="120"/>
      <c r="T43" s="120"/>
      <c r="U43" s="120"/>
      <c r="V43" s="120"/>
      <c r="W43" s="120"/>
      <c r="X43" s="61"/>
      <c r="Y43" s="61"/>
      <c r="Z43" s="61"/>
      <c r="AA43" s="34"/>
      <c r="AI43" s="4"/>
      <c r="AJ43" s="4"/>
      <c r="AK43" s="4"/>
      <c r="AL43" s="4"/>
      <c r="AM43" s="4"/>
      <c r="AN43" s="4"/>
      <c r="AO43" s="4"/>
      <c r="AP43" s="4"/>
      <c r="AQ43" s="4"/>
      <c r="AR43" s="35"/>
      <c r="AS43" s="35"/>
    </row>
    <row r="44" spans="1:45" s="30" customFormat="1" ht="12.75" customHeight="1" x14ac:dyDescent="0.25">
      <c r="A44" s="2"/>
      <c r="B44" s="119">
        <v>1</v>
      </c>
      <c r="C44" s="4"/>
      <c r="D44" s="26"/>
      <c r="E44" s="26"/>
      <c r="F44" s="76">
        <v>45135</v>
      </c>
      <c r="G44" s="114">
        <v>39</v>
      </c>
      <c r="H44" s="5" t="s">
        <v>10</v>
      </c>
      <c r="I44" s="5" t="s">
        <v>357</v>
      </c>
      <c r="J44" s="6" t="s">
        <v>67</v>
      </c>
      <c r="K44" s="6"/>
      <c r="L44" s="6"/>
      <c r="M44" s="116">
        <v>2400</v>
      </c>
      <c r="N44" s="7">
        <f t="shared" si="2"/>
        <v>360270</v>
      </c>
      <c r="O44" s="86"/>
      <c r="P44" s="120">
        <v>2400</v>
      </c>
      <c r="Q44" s="120"/>
      <c r="R44" s="120"/>
      <c r="S44" s="120"/>
      <c r="T44" s="120"/>
      <c r="U44" s="120"/>
      <c r="V44" s="120"/>
      <c r="W44" s="120"/>
      <c r="X44" s="61"/>
      <c r="Y44" s="61"/>
      <c r="Z44" s="61"/>
      <c r="AA44" s="34"/>
      <c r="AI44" s="4"/>
      <c r="AJ44" s="4"/>
      <c r="AK44" s="4"/>
      <c r="AL44" s="4"/>
      <c r="AM44" s="4"/>
      <c r="AN44" s="4"/>
      <c r="AO44" s="4"/>
      <c r="AP44" s="4"/>
      <c r="AQ44" s="4"/>
      <c r="AR44" s="35"/>
      <c r="AS44" s="35"/>
    </row>
    <row r="45" spans="1:45" s="30" customFormat="1" ht="12.75" customHeight="1" x14ac:dyDescent="0.25">
      <c r="A45" s="2"/>
      <c r="B45" s="119">
        <v>1</v>
      </c>
      <c r="C45" s="4"/>
      <c r="D45" s="26"/>
      <c r="E45" s="26"/>
      <c r="F45" s="76">
        <v>45136</v>
      </c>
      <c r="G45" s="114">
        <v>40</v>
      </c>
      <c r="H45" s="5" t="s">
        <v>10</v>
      </c>
      <c r="I45" s="5" t="s">
        <v>357</v>
      </c>
      <c r="J45" s="6" t="s">
        <v>68</v>
      </c>
      <c r="K45" s="6"/>
      <c r="L45" s="6"/>
      <c r="M45" s="116">
        <v>2400</v>
      </c>
      <c r="N45" s="7">
        <f t="shared" si="2"/>
        <v>362670</v>
      </c>
      <c r="O45" s="86"/>
      <c r="P45" s="120">
        <v>2400</v>
      </c>
      <c r="Q45" s="120"/>
      <c r="R45" s="120"/>
      <c r="S45" s="120"/>
      <c r="T45" s="120"/>
      <c r="U45" s="120"/>
      <c r="V45" s="120"/>
      <c r="W45" s="120"/>
      <c r="X45" s="61"/>
      <c r="Y45" s="61"/>
      <c r="Z45" s="61"/>
      <c r="AA45" s="34"/>
      <c r="AI45" s="4"/>
      <c r="AJ45" s="4"/>
      <c r="AK45" s="4"/>
      <c r="AL45" s="4"/>
      <c r="AM45" s="4"/>
      <c r="AN45" s="4"/>
      <c r="AO45" s="4"/>
      <c r="AP45" s="4"/>
      <c r="AQ45" s="4"/>
      <c r="AR45" s="35"/>
      <c r="AS45" s="35"/>
    </row>
    <row r="46" spans="1:45" s="30" customFormat="1" ht="12.75" customHeight="1" x14ac:dyDescent="0.25">
      <c r="A46" s="2"/>
      <c r="B46" s="119">
        <v>1</v>
      </c>
      <c r="C46" s="4"/>
      <c r="D46" s="26"/>
      <c r="E46" s="26"/>
      <c r="F46" s="76">
        <v>45143</v>
      </c>
      <c r="G46" s="114">
        <v>41</v>
      </c>
      <c r="H46" s="5" t="s">
        <v>16</v>
      </c>
      <c r="I46" s="5" t="s">
        <v>356</v>
      </c>
      <c r="J46" s="6" t="s">
        <v>69</v>
      </c>
      <c r="K46" s="6"/>
      <c r="L46" s="6"/>
      <c r="M46" s="116">
        <v>23300</v>
      </c>
      <c r="N46" s="7">
        <f t="shared" si="2"/>
        <v>385970</v>
      </c>
      <c r="O46" s="86"/>
      <c r="P46" s="120"/>
      <c r="Q46" s="120"/>
      <c r="R46" s="120"/>
      <c r="S46" s="120"/>
      <c r="T46" s="120"/>
      <c r="U46" s="120"/>
      <c r="V46" s="120"/>
      <c r="W46" s="120"/>
      <c r="X46" s="61"/>
      <c r="Y46" s="61"/>
      <c r="Z46" s="61"/>
      <c r="AA46" s="34"/>
      <c r="AI46" s="4"/>
      <c r="AJ46" s="4"/>
      <c r="AK46" s="4"/>
      <c r="AL46" s="4"/>
      <c r="AM46" s="4"/>
      <c r="AN46" s="4"/>
      <c r="AO46" s="4"/>
      <c r="AP46" s="4"/>
      <c r="AQ46" s="4"/>
      <c r="AR46" s="35"/>
      <c r="AS46" s="35"/>
    </row>
    <row r="47" spans="1:45" s="30" customFormat="1" ht="12.75" customHeight="1" x14ac:dyDescent="0.25">
      <c r="A47" s="2"/>
      <c r="B47" s="119">
        <v>1</v>
      </c>
      <c r="C47" s="4"/>
      <c r="D47" s="26"/>
      <c r="E47" s="26"/>
      <c r="F47" s="76">
        <v>45143</v>
      </c>
      <c r="G47" s="114">
        <v>42</v>
      </c>
      <c r="H47" s="5" t="s">
        <v>70</v>
      </c>
      <c r="I47" s="5" t="s">
        <v>358</v>
      </c>
      <c r="J47" s="6" t="s">
        <v>71</v>
      </c>
      <c r="K47" s="6"/>
      <c r="L47" s="6"/>
      <c r="M47" s="116">
        <v>17500</v>
      </c>
      <c r="N47" s="7">
        <f t="shared" si="2"/>
        <v>403470</v>
      </c>
      <c r="O47" s="86"/>
      <c r="P47" s="120"/>
      <c r="Q47" s="120"/>
      <c r="R47" s="120"/>
      <c r="S47" s="120">
        <v>17500</v>
      </c>
      <c r="T47" s="120"/>
      <c r="U47" s="120"/>
      <c r="V47" s="120"/>
      <c r="W47" s="120"/>
      <c r="X47" s="61"/>
      <c r="Y47" s="61"/>
      <c r="Z47" s="61"/>
      <c r="AA47" s="34"/>
      <c r="AI47" s="4"/>
      <c r="AJ47" s="4"/>
      <c r="AK47" s="4"/>
      <c r="AL47" s="4"/>
      <c r="AM47" s="4"/>
      <c r="AN47" s="4"/>
      <c r="AO47" s="4"/>
      <c r="AP47" s="4"/>
      <c r="AQ47" s="4"/>
      <c r="AR47" s="35"/>
      <c r="AS47" s="35"/>
    </row>
    <row r="48" spans="1:45" s="30" customFormat="1" ht="12.75" customHeight="1" x14ac:dyDescent="0.25">
      <c r="A48" s="2"/>
      <c r="B48" s="119">
        <v>1</v>
      </c>
      <c r="C48" s="4"/>
      <c r="D48" s="26"/>
      <c r="E48" s="26"/>
      <c r="F48" s="76">
        <v>45150</v>
      </c>
      <c r="G48" s="114">
        <v>43</v>
      </c>
      <c r="H48" s="5" t="s">
        <v>16</v>
      </c>
      <c r="I48" s="5" t="s">
        <v>356</v>
      </c>
      <c r="J48" s="6" t="s">
        <v>72</v>
      </c>
      <c r="K48" s="6"/>
      <c r="L48" s="6"/>
      <c r="M48" s="116">
        <v>14000</v>
      </c>
      <c r="N48" s="7">
        <f t="shared" si="2"/>
        <v>417470</v>
      </c>
      <c r="O48" s="86"/>
      <c r="P48" s="120"/>
      <c r="Q48" s="120"/>
      <c r="R48" s="120"/>
      <c r="S48" s="120"/>
      <c r="T48" s="120"/>
      <c r="U48" s="120"/>
      <c r="V48" s="120"/>
      <c r="W48" s="120"/>
      <c r="X48" s="61"/>
      <c r="Y48" s="61"/>
      <c r="Z48" s="61"/>
      <c r="AA48" s="34"/>
      <c r="AI48" s="4"/>
      <c r="AJ48" s="4"/>
      <c r="AK48" s="4"/>
      <c r="AL48" s="4"/>
      <c r="AM48" s="4"/>
      <c r="AN48" s="4"/>
      <c r="AO48" s="4"/>
      <c r="AP48" s="4"/>
      <c r="AQ48" s="4"/>
      <c r="AR48" s="35"/>
      <c r="AS48" s="35"/>
    </row>
    <row r="49" spans="1:54" s="30" customFormat="1" ht="12.75" customHeight="1" x14ac:dyDescent="0.25">
      <c r="A49" s="2"/>
      <c r="B49" s="119">
        <v>1</v>
      </c>
      <c r="C49" s="4"/>
      <c r="D49" s="26"/>
      <c r="E49" s="26"/>
      <c r="F49" s="76">
        <v>45154</v>
      </c>
      <c r="G49" s="114">
        <v>44</v>
      </c>
      <c r="H49" s="5" t="s">
        <v>14</v>
      </c>
      <c r="I49" s="5" t="s">
        <v>247</v>
      </c>
      <c r="J49" s="6" t="s">
        <v>73</v>
      </c>
      <c r="K49" s="6"/>
      <c r="L49" s="6"/>
      <c r="M49" s="116">
        <v>28305</v>
      </c>
      <c r="N49" s="7">
        <f t="shared" si="2"/>
        <v>445775</v>
      </c>
      <c r="O49" s="86"/>
      <c r="P49" s="120"/>
      <c r="Q49" s="120"/>
      <c r="R49" s="120"/>
      <c r="S49" s="120"/>
      <c r="T49" s="120"/>
      <c r="U49" s="120"/>
      <c r="V49" s="120"/>
      <c r="W49" s="120"/>
      <c r="X49" s="61"/>
      <c r="Y49" s="61"/>
      <c r="Z49" s="61"/>
      <c r="AA49" s="34"/>
      <c r="AI49" s="4"/>
      <c r="AJ49" s="4"/>
      <c r="AK49" s="4"/>
      <c r="AL49" s="4"/>
      <c r="AM49" s="4"/>
      <c r="AN49" s="4"/>
      <c r="AO49" s="4"/>
      <c r="AP49" s="4"/>
      <c r="AQ49" s="4"/>
      <c r="AR49" s="35"/>
      <c r="AS49" s="35"/>
    </row>
    <row r="50" spans="1:54" s="30" customFormat="1" ht="12.75" customHeight="1" x14ac:dyDescent="0.25">
      <c r="A50" s="2"/>
      <c r="B50" s="119">
        <v>1</v>
      </c>
      <c r="C50" s="4"/>
      <c r="D50" s="26"/>
      <c r="E50" s="26"/>
      <c r="F50" s="76">
        <v>45155</v>
      </c>
      <c r="G50" s="114">
        <v>45</v>
      </c>
      <c r="H50" s="5" t="s">
        <v>16</v>
      </c>
      <c r="I50" s="5" t="s">
        <v>356</v>
      </c>
      <c r="J50" s="6" t="s">
        <v>74</v>
      </c>
      <c r="K50" s="6"/>
      <c r="L50" s="6"/>
      <c r="M50" s="116">
        <v>1000</v>
      </c>
      <c r="N50" s="7">
        <f t="shared" si="2"/>
        <v>446775</v>
      </c>
      <c r="O50" s="86"/>
      <c r="P50" s="120"/>
      <c r="Q50" s="120"/>
      <c r="R50" s="120"/>
      <c r="S50" s="120"/>
      <c r="T50" s="120"/>
      <c r="U50" s="120"/>
      <c r="V50" s="120"/>
      <c r="W50" s="120"/>
      <c r="X50" s="61"/>
      <c r="Y50" s="61"/>
      <c r="Z50" s="61"/>
      <c r="AA50" s="34"/>
      <c r="AI50" s="4"/>
      <c r="AJ50" s="4"/>
      <c r="AK50" s="4"/>
      <c r="AL50" s="4"/>
      <c r="AM50" s="4"/>
      <c r="AN50" s="4"/>
      <c r="AO50" s="4"/>
      <c r="AP50" s="4"/>
      <c r="AQ50" s="4"/>
      <c r="AR50" s="35"/>
      <c r="AS50" s="35"/>
    </row>
    <row r="51" spans="1:54" s="30" customFormat="1" ht="12.75" customHeight="1" x14ac:dyDescent="0.25">
      <c r="A51" s="2"/>
      <c r="B51" s="119">
        <v>1</v>
      </c>
      <c r="C51" s="4"/>
      <c r="D51" s="26"/>
      <c r="E51" s="26"/>
      <c r="F51" s="76">
        <v>45157</v>
      </c>
      <c r="G51" s="114">
        <v>46</v>
      </c>
      <c r="H51" s="5" t="s">
        <v>16</v>
      </c>
      <c r="I51" s="5" t="s">
        <v>356</v>
      </c>
      <c r="J51" s="6" t="s">
        <v>75</v>
      </c>
      <c r="K51" s="6"/>
      <c r="L51" s="6"/>
      <c r="M51" s="116">
        <v>28000</v>
      </c>
      <c r="N51" s="7">
        <f t="shared" si="2"/>
        <v>474775</v>
      </c>
      <c r="O51" s="86"/>
      <c r="P51" s="120"/>
      <c r="Q51" s="120"/>
      <c r="R51" s="120"/>
      <c r="S51" s="120"/>
      <c r="T51" s="120"/>
      <c r="U51" s="120"/>
      <c r="V51" s="120"/>
      <c r="W51" s="120"/>
      <c r="X51" s="61"/>
      <c r="Y51" s="61"/>
      <c r="Z51" s="61"/>
      <c r="AA51" s="34"/>
      <c r="AI51" s="4"/>
      <c r="AJ51" s="4"/>
      <c r="AK51" s="4"/>
      <c r="AL51" s="4"/>
      <c r="AM51" s="4"/>
      <c r="AN51" s="4"/>
      <c r="AO51" s="4"/>
      <c r="AP51" s="4"/>
      <c r="AQ51" s="4"/>
      <c r="AR51" s="35"/>
      <c r="AS51" s="35"/>
    </row>
    <row r="52" spans="1:54" s="30" customFormat="1" ht="12.75" customHeight="1" x14ac:dyDescent="0.25">
      <c r="A52" s="2"/>
      <c r="B52" s="119">
        <v>1</v>
      </c>
      <c r="C52" s="4"/>
      <c r="D52" s="26"/>
      <c r="E52" s="26"/>
      <c r="F52" s="76">
        <v>45156</v>
      </c>
      <c r="G52" s="114">
        <v>47</v>
      </c>
      <c r="H52" s="5" t="s">
        <v>14</v>
      </c>
      <c r="I52" s="5" t="s">
        <v>247</v>
      </c>
      <c r="J52" s="63" t="s">
        <v>77</v>
      </c>
      <c r="K52" s="6"/>
      <c r="L52" s="6"/>
      <c r="M52" s="116">
        <v>10000</v>
      </c>
      <c r="N52" s="7">
        <f t="shared" si="2"/>
        <v>484775</v>
      </c>
      <c r="O52" s="86"/>
      <c r="P52" s="120"/>
      <c r="Q52" s="120"/>
      <c r="R52" s="120"/>
      <c r="S52" s="120"/>
      <c r="T52" s="120"/>
      <c r="U52" s="120"/>
      <c r="V52" s="120"/>
      <c r="W52" s="120"/>
      <c r="X52" s="61"/>
      <c r="Y52" s="61"/>
      <c r="Z52" s="61"/>
      <c r="AA52" s="34"/>
      <c r="AI52" s="4"/>
      <c r="AJ52" s="4"/>
      <c r="AK52" s="4"/>
      <c r="AL52" s="4"/>
      <c r="AM52" s="4"/>
      <c r="AN52" s="4"/>
      <c r="AO52" s="4"/>
      <c r="AP52" s="4"/>
      <c r="AQ52" s="4"/>
      <c r="AR52" s="35"/>
      <c r="AS52" s="35"/>
    </row>
    <row r="53" spans="1:54" s="30" customFormat="1" ht="12.75" customHeight="1" x14ac:dyDescent="0.25">
      <c r="A53" s="2"/>
      <c r="B53" s="119">
        <v>1</v>
      </c>
      <c r="C53" s="4"/>
      <c r="D53" s="26"/>
      <c r="E53" s="26"/>
      <c r="F53" s="76">
        <v>45156</v>
      </c>
      <c r="G53" s="114">
        <v>48</v>
      </c>
      <c r="H53" s="5" t="s">
        <v>76</v>
      </c>
      <c r="I53" s="5" t="s">
        <v>247</v>
      </c>
      <c r="J53" s="63" t="s">
        <v>78</v>
      </c>
      <c r="K53" s="6"/>
      <c r="L53" s="6"/>
      <c r="M53" s="116">
        <v>2150</v>
      </c>
      <c r="N53" s="7">
        <f t="shared" si="2"/>
        <v>486925</v>
      </c>
      <c r="O53" s="86"/>
      <c r="P53" s="120"/>
      <c r="Q53" s="120"/>
      <c r="R53" s="120"/>
      <c r="S53" s="120"/>
      <c r="T53" s="120"/>
      <c r="U53" s="120"/>
      <c r="V53" s="120"/>
      <c r="W53" s="120"/>
      <c r="X53" s="61"/>
      <c r="Y53" s="61"/>
      <c r="Z53" s="61"/>
      <c r="AA53" s="34"/>
      <c r="AI53" s="4"/>
      <c r="AJ53" s="4"/>
      <c r="AK53" s="4"/>
      <c r="AL53" s="4"/>
      <c r="AM53" s="4"/>
      <c r="AN53" s="4"/>
      <c r="AO53" s="4"/>
      <c r="AP53" s="4"/>
      <c r="AQ53" s="4"/>
      <c r="AR53" s="35"/>
      <c r="AS53" s="35"/>
    </row>
    <row r="54" spans="1:54" s="30" customFormat="1" ht="12.75" customHeight="1" x14ac:dyDescent="0.25">
      <c r="A54" s="2"/>
      <c r="B54" s="119">
        <v>1</v>
      </c>
      <c r="C54" s="4"/>
      <c r="D54" s="26"/>
      <c r="E54" s="26"/>
      <c r="F54" s="76">
        <v>45159</v>
      </c>
      <c r="G54" s="114">
        <v>49</v>
      </c>
      <c r="H54" s="5" t="s">
        <v>27</v>
      </c>
      <c r="I54" s="5" t="s">
        <v>247</v>
      </c>
      <c r="J54" s="63" t="s">
        <v>79</v>
      </c>
      <c r="K54" s="6"/>
      <c r="L54" s="6"/>
      <c r="M54" s="116">
        <v>1350</v>
      </c>
      <c r="N54" s="7">
        <f t="shared" si="2"/>
        <v>488275</v>
      </c>
      <c r="O54" s="86"/>
      <c r="P54" s="120"/>
      <c r="Q54" s="120"/>
      <c r="R54" s="120"/>
      <c r="S54" s="120"/>
      <c r="T54" s="120"/>
      <c r="U54" s="120"/>
      <c r="V54" s="120"/>
      <c r="W54" s="120"/>
      <c r="X54" s="61"/>
      <c r="Y54" s="61"/>
      <c r="Z54" s="61"/>
      <c r="AA54" s="34"/>
      <c r="AI54" s="4"/>
      <c r="AJ54" s="4"/>
      <c r="AK54" s="4"/>
      <c r="AL54" s="4"/>
      <c r="AM54" s="4"/>
      <c r="AN54" s="4"/>
      <c r="AO54" s="4"/>
      <c r="AP54" s="4"/>
      <c r="AQ54" s="4"/>
      <c r="AR54" s="35"/>
      <c r="AS54" s="35"/>
    </row>
    <row r="55" spans="1:54" s="30" customFormat="1" ht="12.75" customHeight="1" x14ac:dyDescent="0.25">
      <c r="A55" s="2"/>
      <c r="B55" s="119">
        <v>1</v>
      </c>
      <c r="C55" s="4"/>
      <c r="D55" s="26"/>
      <c r="E55" s="26"/>
      <c r="F55" s="76">
        <v>45164</v>
      </c>
      <c r="G55" s="114">
        <v>50</v>
      </c>
      <c r="H55" s="5" t="s">
        <v>16</v>
      </c>
      <c r="I55" s="5" t="s">
        <v>356</v>
      </c>
      <c r="J55" s="63" t="s">
        <v>80</v>
      </c>
      <c r="K55" s="6"/>
      <c r="L55" s="6"/>
      <c r="M55" s="116">
        <v>17400</v>
      </c>
      <c r="N55" s="7">
        <f t="shared" si="2"/>
        <v>505675</v>
      </c>
      <c r="O55" s="86"/>
      <c r="P55" s="120"/>
      <c r="Q55" s="120"/>
      <c r="R55" s="120"/>
      <c r="S55" s="120"/>
      <c r="T55" s="120"/>
      <c r="U55" s="120"/>
      <c r="V55" s="120"/>
      <c r="W55" s="120"/>
      <c r="X55" s="61"/>
      <c r="Y55" s="61"/>
      <c r="Z55" s="61"/>
      <c r="AA55" s="34"/>
      <c r="AI55" s="4"/>
      <c r="AJ55" s="4"/>
      <c r="AK55" s="4"/>
      <c r="AL55" s="4"/>
      <c r="AM55" s="4"/>
      <c r="AN55" s="4"/>
      <c r="AO55" s="4"/>
      <c r="AP55" s="4"/>
      <c r="AQ55" s="4"/>
      <c r="AR55" s="35"/>
      <c r="AS55" s="35"/>
    </row>
    <row r="56" spans="1:54" s="30" customFormat="1" ht="12.75" customHeight="1" x14ac:dyDescent="0.25">
      <c r="A56" s="2"/>
      <c r="B56" s="119">
        <v>1</v>
      </c>
      <c r="C56" s="4"/>
      <c r="D56" s="26"/>
      <c r="E56" s="26"/>
      <c r="F56" s="76">
        <v>45166</v>
      </c>
      <c r="G56" s="114">
        <v>51</v>
      </c>
      <c r="H56" s="5" t="s">
        <v>16</v>
      </c>
      <c r="I56" s="5" t="s">
        <v>356</v>
      </c>
      <c r="J56" s="63" t="s">
        <v>81</v>
      </c>
      <c r="K56" s="6"/>
      <c r="L56" s="6"/>
      <c r="M56" s="116">
        <v>5000</v>
      </c>
      <c r="N56" s="7">
        <f t="shared" si="2"/>
        <v>510675</v>
      </c>
      <c r="O56" s="86"/>
      <c r="P56" s="120"/>
      <c r="Q56" s="120"/>
      <c r="R56" s="120"/>
      <c r="S56" s="120"/>
      <c r="T56" s="120"/>
      <c r="U56" s="120"/>
      <c r="V56" s="120"/>
      <c r="W56" s="120"/>
      <c r="X56" s="64"/>
      <c r="Y56" s="64"/>
      <c r="Z56" s="64"/>
      <c r="AA56" s="34"/>
      <c r="AI56" s="4"/>
      <c r="AJ56" s="4"/>
      <c r="AK56" s="4"/>
      <c r="AL56" s="4"/>
      <c r="AM56" s="4"/>
      <c r="AN56" s="4"/>
      <c r="AO56" s="4"/>
      <c r="AP56" s="4"/>
      <c r="AQ56" s="4"/>
      <c r="AR56" s="35"/>
      <c r="AS56" s="35"/>
    </row>
    <row r="57" spans="1:54" s="30" customFormat="1" ht="12.75" customHeight="1" x14ac:dyDescent="0.25">
      <c r="A57" s="2"/>
      <c r="B57" s="119">
        <v>1</v>
      </c>
      <c r="C57" s="4"/>
      <c r="D57" s="26"/>
      <c r="E57" s="26"/>
      <c r="F57" s="76">
        <v>45166</v>
      </c>
      <c r="G57" s="114">
        <v>52</v>
      </c>
      <c r="H57" s="5" t="s">
        <v>82</v>
      </c>
      <c r="I57" s="5" t="s">
        <v>358</v>
      </c>
      <c r="J57" s="63" t="s">
        <v>83</v>
      </c>
      <c r="K57" s="6"/>
      <c r="L57" s="6"/>
      <c r="M57" s="116">
        <v>34500</v>
      </c>
      <c r="N57" s="7">
        <f t="shared" si="2"/>
        <v>545175</v>
      </c>
      <c r="O57" s="86"/>
      <c r="P57" s="7"/>
      <c r="Q57" s="7"/>
      <c r="R57" s="7"/>
      <c r="S57" s="7"/>
      <c r="T57" s="7"/>
      <c r="U57" s="7"/>
      <c r="V57" s="7"/>
      <c r="W57" s="7"/>
      <c r="X57" s="64"/>
      <c r="Y57" s="64"/>
      <c r="Z57" s="64"/>
      <c r="AA57" s="34"/>
      <c r="AI57" s="4"/>
      <c r="AJ57" s="4"/>
      <c r="AK57" s="4"/>
      <c r="AL57" s="4"/>
      <c r="AM57" s="4"/>
      <c r="AN57" s="4"/>
      <c r="AO57" s="4"/>
      <c r="AP57" s="4"/>
      <c r="AQ57" s="4"/>
      <c r="AR57" s="35"/>
      <c r="AS57" s="35"/>
    </row>
    <row r="58" spans="1:54" s="30" customFormat="1" ht="12.75" customHeight="1" x14ac:dyDescent="0.25">
      <c r="A58" s="2"/>
      <c r="B58" s="119">
        <v>1</v>
      </c>
      <c r="C58" s="4"/>
      <c r="D58" s="26"/>
      <c r="E58" s="26"/>
      <c r="F58" s="76">
        <v>45171</v>
      </c>
      <c r="G58" s="114">
        <v>53</v>
      </c>
      <c r="H58" s="5" t="s">
        <v>16</v>
      </c>
      <c r="I58" s="5" t="s">
        <v>356</v>
      </c>
      <c r="J58" s="63" t="s">
        <v>84</v>
      </c>
      <c r="K58" s="6"/>
      <c r="L58" s="6"/>
      <c r="M58" s="116">
        <v>11600</v>
      </c>
      <c r="N58" s="7">
        <f t="shared" ref="N58:N122" si="3">M58+N57</f>
        <v>556775</v>
      </c>
      <c r="O58" s="86"/>
      <c r="P58" s="7"/>
      <c r="Q58" s="7"/>
      <c r="R58" s="7"/>
      <c r="S58" s="7"/>
      <c r="T58" s="7"/>
      <c r="U58" s="7"/>
      <c r="V58" s="7"/>
      <c r="W58" s="7"/>
      <c r="X58" s="64"/>
      <c r="Y58" s="64"/>
      <c r="Z58" s="64"/>
      <c r="AA58" s="34"/>
      <c r="AI58" s="4"/>
      <c r="AJ58" s="4"/>
      <c r="AK58" s="4"/>
      <c r="AL58" s="4"/>
      <c r="AM58" s="4"/>
      <c r="AN58" s="4"/>
      <c r="AO58" s="4"/>
      <c r="AP58" s="4"/>
      <c r="AQ58" s="4"/>
      <c r="AR58" s="35"/>
      <c r="AS58" s="35"/>
    </row>
    <row r="59" spans="1:54" s="30" customFormat="1" ht="12.75" customHeight="1" x14ac:dyDescent="0.25">
      <c r="A59" s="2"/>
      <c r="B59" s="119">
        <v>1</v>
      </c>
      <c r="C59" s="4"/>
      <c r="D59" s="26"/>
      <c r="E59" s="26"/>
      <c r="F59" s="76">
        <v>45174</v>
      </c>
      <c r="G59" s="114">
        <v>54</v>
      </c>
      <c r="H59" s="5" t="s">
        <v>85</v>
      </c>
      <c r="I59" s="5" t="s">
        <v>247</v>
      </c>
      <c r="J59" s="63" t="s">
        <v>86</v>
      </c>
      <c r="K59" s="6"/>
      <c r="L59" s="6"/>
      <c r="M59" s="116">
        <v>10100</v>
      </c>
      <c r="N59" s="7">
        <f t="shared" si="3"/>
        <v>566875</v>
      </c>
      <c r="O59" s="86"/>
      <c r="P59" s="7"/>
      <c r="Q59" s="7"/>
      <c r="R59" s="7"/>
      <c r="S59" s="7"/>
      <c r="T59" s="7"/>
      <c r="U59" s="7"/>
      <c r="V59" s="7"/>
      <c r="W59" s="7"/>
      <c r="X59" s="64"/>
      <c r="Y59" s="64"/>
      <c r="Z59" s="64"/>
      <c r="AA59" s="34"/>
      <c r="AI59" s="4"/>
      <c r="AJ59" s="4"/>
      <c r="AK59" s="4"/>
      <c r="AL59" s="4"/>
      <c r="AM59" s="4"/>
      <c r="AN59" s="4"/>
      <c r="AO59" s="4"/>
      <c r="AP59" s="4"/>
      <c r="AQ59" s="4"/>
      <c r="AR59" s="35"/>
      <c r="AS59" s="35"/>
    </row>
    <row r="60" spans="1:54" s="30" customFormat="1" ht="12.75" customHeight="1" x14ac:dyDescent="0.25">
      <c r="A60" s="2"/>
      <c r="B60" s="119">
        <v>1</v>
      </c>
      <c r="C60" s="4"/>
      <c r="D60" s="26"/>
      <c r="E60" s="26"/>
      <c r="F60" s="76">
        <v>45175</v>
      </c>
      <c r="G60" s="114">
        <v>55</v>
      </c>
      <c r="H60" s="5" t="s">
        <v>357</v>
      </c>
      <c r="I60" s="5" t="s">
        <v>357</v>
      </c>
      <c r="J60" s="63" t="s">
        <v>86</v>
      </c>
      <c r="K60" s="6"/>
      <c r="L60" s="6"/>
      <c r="M60" s="116">
        <v>750</v>
      </c>
      <c r="N60" s="7">
        <f t="shared" si="3"/>
        <v>567625</v>
      </c>
      <c r="O60" s="86"/>
      <c r="P60" s="7">
        <v>750</v>
      </c>
      <c r="Q60" s="7"/>
      <c r="R60" s="7"/>
      <c r="S60" s="7"/>
      <c r="T60" s="7"/>
      <c r="U60" s="7"/>
      <c r="V60" s="7"/>
      <c r="W60" s="7"/>
      <c r="X60" s="64"/>
      <c r="Y60" s="64"/>
      <c r="Z60" s="64"/>
      <c r="AA60" s="34"/>
      <c r="AI60" s="4"/>
      <c r="AJ60" s="4"/>
      <c r="AK60" s="4"/>
      <c r="AL60" s="4"/>
      <c r="AM60" s="4"/>
      <c r="AN60" s="4"/>
      <c r="AO60" s="4"/>
      <c r="AP60" s="4"/>
      <c r="AQ60" s="4"/>
      <c r="AR60" s="35"/>
      <c r="AS60" s="35"/>
    </row>
    <row r="61" spans="1:54" s="30" customFormat="1" ht="12.75" customHeight="1" x14ac:dyDescent="0.25">
      <c r="A61" s="2"/>
      <c r="B61" s="119">
        <v>1</v>
      </c>
      <c r="C61" s="4"/>
      <c r="D61" s="26"/>
      <c r="E61" s="26"/>
      <c r="F61" s="76">
        <v>45173</v>
      </c>
      <c r="G61" s="114">
        <v>56</v>
      </c>
      <c r="H61" s="5" t="s">
        <v>14</v>
      </c>
      <c r="I61" s="5" t="s">
        <v>247</v>
      </c>
      <c r="J61" s="63" t="s">
        <v>87</v>
      </c>
      <c r="K61" s="6"/>
      <c r="L61" s="6"/>
      <c r="M61" s="116">
        <v>22015</v>
      </c>
      <c r="N61" s="7">
        <f t="shared" si="3"/>
        <v>589640</v>
      </c>
      <c r="O61" s="86"/>
      <c r="P61" s="7"/>
      <c r="Q61" s="7"/>
      <c r="R61" s="7"/>
      <c r="S61" s="7"/>
      <c r="T61" s="7"/>
      <c r="U61" s="7"/>
      <c r="V61" s="7"/>
      <c r="W61" s="7"/>
      <c r="X61" s="64"/>
      <c r="Y61" s="64"/>
      <c r="Z61" s="64"/>
      <c r="AA61" s="7"/>
      <c r="AB61" s="7"/>
      <c r="AC61" s="7"/>
      <c r="AD61" s="7"/>
      <c r="AE61" s="7"/>
      <c r="AF61" s="7"/>
      <c r="AG61" s="7"/>
      <c r="AI61" s="4"/>
      <c r="AJ61" s="4"/>
      <c r="AK61" s="4"/>
      <c r="AL61" s="4"/>
      <c r="AM61" s="4"/>
      <c r="AN61" s="4"/>
      <c r="AO61" s="4"/>
      <c r="AP61" s="4"/>
      <c r="AQ61" s="4"/>
      <c r="AR61" s="35"/>
      <c r="AS61" s="35"/>
    </row>
    <row r="62" spans="1:54" s="30" customFormat="1" ht="12.75" customHeight="1" x14ac:dyDescent="0.25">
      <c r="A62" s="2"/>
      <c r="B62" s="119">
        <v>1</v>
      </c>
      <c r="C62" s="4"/>
      <c r="D62" s="26"/>
      <c r="E62" s="26"/>
      <c r="F62" s="76">
        <v>45176</v>
      </c>
      <c r="G62" s="114">
        <v>57</v>
      </c>
      <c r="H62" s="5" t="s">
        <v>85</v>
      </c>
      <c r="I62" s="5" t="s">
        <v>247</v>
      </c>
      <c r="J62" s="63" t="s">
        <v>88</v>
      </c>
      <c r="K62" s="6"/>
      <c r="L62" s="6"/>
      <c r="M62" s="116">
        <v>33480</v>
      </c>
      <c r="N62" s="7">
        <f t="shared" si="3"/>
        <v>623120</v>
      </c>
      <c r="O62" s="86"/>
      <c r="P62" s="7"/>
      <c r="Q62" s="7"/>
      <c r="R62" s="7"/>
      <c r="S62" s="7"/>
      <c r="T62" s="7"/>
      <c r="U62" s="7"/>
      <c r="V62" s="7"/>
      <c r="W62" s="7"/>
      <c r="X62" s="64"/>
      <c r="Y62" s="64"/>
      <c r="Z62" s="64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>
        <f t="shared" ref="AX62" si="4">AW62+AX61</f>
        <v>0</v>
      </c>
      <c r="AY62" s="7">
        <f t="shared" ref="AY62" si="5">AX62+AY61</f>
        <v>0</v>
      </c>
      <c r="AZ62" s="7">
        <f t="shared" ref="AZ62" si="6">AY62+AZ61</f>
        <v>0</v>
      </c>
      <c r="BA62" s="7">
        <f t="shared" ref="BA62" si="7">AZ62+BA61</f>
        <v>0</v>
      </c>
      <c r="BB62" s="7">
        <f t="shared" ref="BB62" si="8">BA62+BB61</f>
        <v>0</v>
      </c>
    </row>
    <row r="63" spans="1:54" s="30" customFormat="1" ht="12.75" customHeight="1" x14ac:dyDescent="0.25">
      <c r="A63" s="2"/>
      <c r="B63" s="119">
        <v>1</v>
      </c>
      <c r="C63" s="4"/>
      <c r="D63" s="26"/>
      <c r="E63" s="26"/>
      <c r="F63" s="76">
        <v>45177</v>
      </c>
      <c r="G63" s="114">
        <v>58</v>
      </c>
      <c r="H63" s="5" t="s">
        <v>89</v>
      </c>
      <c r="I63" s="5" t="s">
        <v>340</v>
      </c>
      <c r="J63" s="63" t="s">
        <v>90</v>
      </c>
      <c r="K63" s="6"/>
      <c r="L63" s="6"/>
      <c r="M63" s="116">
        <v>13500</v>
      </c>
      <c r="N63" s="7">
        <f t="shared" si="3"/>
        <v>636620</v>
      </c>
      <c r="O63" s="86"/>
      <c r="P63" s="7"/>
      <c r="Q63" s="7"/>
      <c r="R63" s="7"/>
      <c r="S63" s="7"/>
      <c r="T63" s="7"/>
      <c r="U63" s="7">
        <v>13500</v>
      </c>
      <c r="V63" s="7"/>
      <c r="W63" s="7"/>
      <c r="X63" s="64"/>
      <c r="Y63" s="64"/>
      <c r="Z63" s="64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>
        <f t="shared" ref="AX63" si="9">AW63+AX62</f>
        <v>0</v>
      </c>
      <c r="AY63" s="7">
        <f t="shared" ref="AY63" si="10">AX63+AY62</f>
        <v>0</v>
      </c>
      <c r="AZ63" s="7">
        <f t="shared" ref="AZ63" si="11">AY63+AZ62</f>
        <v>0</v>
      </c>
      <c r="BA63" s="7">
        <f t="shared" ref="BA63" si="12">AZ63+BA62</f>
        <v>0</v>
      </c>
      <c r="BB63" s="7">
        <f t="shared" ref="BB63" si="13">BA63+BB62</f>
        <v>0</v>
      </c>
    </row>
    <row r="64" spans="1:54" s="30" customFormat="1" ht="12.75" customHeight="1" x14ac:dyDescent="0.25">
      <c r="A64" s="2"/>
      <c r="B64" s="119">
        <v>1</v>
      </c>
      <c r="C64" s="4"/>
      <c r="D64" s="26"/>
      <c r="E64" s="26"/>
      <c r="F64" s="76">
        <v>45177</v>
      </c>
      <c r="G64" s="114">
        <v>59</v>
      </c>
      <c r="H64" s="5" t="s">
        <v>58</v>
      </c>
      <c r="I64" s="5" t="s">
        <v>247</v>
      </c>
      <c r="J64" s="63" t="s">
        <v>91</v>
      </c>
      <c r="K64" s="6"/>
      <c r="L64" s="6"/>
      <c r="M64" s="116">
        <v>15000</v>
      </c>
      <c r="N64" s="7">
        <f t="shared" si="3"/>
        <v>651620</v>
      </c>
      <c r="O64" s="86"/>
      <c r="P64" s="7"/>
      <c r="Q64" s="7"/>
      <c r="R64" s="7"/>
      <c r="S64" s="7"/>
      <c r="T64" s="7"/>
      <c r="U64" s="7"/>
      <c r="V64" s="7"/>
      <c r="W64" s="7"/>
      <c r="X64" s="64"/>
      <c r="Y64" s="64"/>
      <c r="Z64" s="64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</row>
    <row r="65" spans="1:54" s="30" customFormat="1" ht="12.75" customHeight="1" x14ac:dyDescent="0.25">
      <c r="A65" s="2"/>
      <c r="B65" s="119">
        <v>1</v>
      </c>
      <c r="C65" s="4"/>
      <c r="D65" s="26"/>
      <c r="E65" s="26"/>
      <c r="F65" s="76">
        <v>45177</v>
      </c>
      <c r="G65" s="114">
        <v>60</v>
      </c>
      <c r="H65" s="5" t="s">
        <v>60</v>
      </c>
      <c r="I65" s="5" t="s">
        <v>247</v>
      </c>
      <c r="J65" s="63" t="s">
        <v>92</v>
      </c>
      <c r="K65" s="6"/>
      <c r="L65" s="6"/>
      <c r="M65" s="116">
        <v>9500</v>
      </c>
      <c r="N65" s="7">
        <f t="shared" si="3"/>
        <v>661120</v>
      </c>
      <c r="O65" s="86"/>
      <c r="P65" s="7"/>
      <c r="Q65" s="7"/>
      <c r="R65" s="7"/>
      <c r="S65" s="7"/>
      <c r="T65" s="7"/>
      <c r="U65" s="7"/>
      <c r="V65" s="7"/>
      <c r="W65" s="7"/>
      <c r="X65" s="64"/>
      <c r="Y65" s="64"/>
      <c r="Z65" s="64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</row>
    <row r="66" spans="1:54" s="30" customFormat="1" ht="12.75" customHeight="1" x14ac:dyDescent="0.25">
      <c r="A66" s="2"/>
      <c r="B66" s="119">
        <v>1</v>
      </c>
      <c r="C66" s="4"/>
      <c r="D66" s="26"/>
      <c r="E66" s="26"/>
      <c r="F66" s="77">
        <v>45178</v>
      </c>
      <c r="G66" s="115">
        <v>61</v>
      </c>
      <c r="H66" s="8" t="s">
        <v>93</v>
      </c>
      <c r="I66" s="5" t="s">
        <v>247</v>
      </c>
      <c r="J66" s="65" t="s">
        <v>94</v>
      </c>
      <c r="K66" s="9"/>
      <c r="L66" s="9"/>
      <c r="M66" s="117">
        <v>1000</v>
      </c>
      <c r="N66" s="7">
        <f t="shared" si="3"/>
        <v>662120</v>
      </c>
      <c r="O66" s="86"/>
      <c r="P66" s="7"/>
      <c r="Q66" s="7"/>
      <c r="R66" s="7"/>
      <c r="S66" s="7"/>
      <c r="T66" s="7"/>
      <c r="U66" s="7"/>
      <c r="V66" s="7"/>
      <c r="W66" s="7"/>
      <c r="X66" s="64"/>
      <c r="Y66" s="64"/>
      <c r="Z66" s="64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</row>
    <row r="67" spans="1:54" s="30" customFormat="1" ht="12.75" customHeight="1" x14ac:dyDescent="0.25">
      <c r="A67" s="2"/>
      <c r="B67" s="119">
        <v>1</v>
      </c>
      <c r="C67" s="4"/>
      <c r="D67" s="26"/>
      <c r="E67" s="26"/>
      <c r="F67" s="77">
        <v>45178</v>
      </c>
      <c r="G67" s="115">
        <v>62</v>
      </c>
      <c r="H67" s="8" t="s">
        <v>95</v>
      </c>
      <c r="I67" s="5" t="s">
        <v>247</v>
      </c>
      <c r="J67" s="65" t="s">
        <v>96</v>
      </c>
      <c r="K67" s="9"/>
      <c r="L67" s="9"/>
      <c r="M67" s="117">
        <v>6880</v>
      </c>
      <c r="N67" s="7">
        <f t="shared" si="3"/>
        <v>669000</v>
      </c>
      <c r="O67" s="86"/>
      <c r="P67" s="7"/>
      <c r="Q67" s="7"/>
      <c r="R67" s="7"/>
      <c r="S67" s="7"/>
      <c r="T67" s="7"/>
      <c r="U67" s="7"/>
      <c r="V67" s="7"/>
      <c r="W67" s="7"/>
      <c r="X67" s="64"/>
      <c r="Y67" s="64"/>
      <c r="Z67" s="64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</row>
    <row r="68" spans="1:54" s="30" customFormat="1" ht="12.75" customHeight="1" x14ac:dyDescent="0.25">
      <c r="A68" s="2"/>
      <c r="B68" s="119">
        <v>1</v>
      </c>
      <c r="C68" s="4"/>
      <c r="D68" s="26"/>
      <c r="E68" s="26"/>
      <c r="F68" s="76">
        <v>45128</v>
      </c>
      <c r="G68" s="114">
        <v>63</v>
      </c>
      <c r="H68" s="5" t="s">
        <v>10</v>
      </c>
      <c r="I68" s="5" t="s">
        <v>357</v>
      </c>
      <c r="J68" s="63" t="s">
        <v>97</v>
      </c>
      <c r="K68" s="6"/>
      <c r="L68" s="6"/>
      <c r="M68" s="116">
        <v>2700</v>
      </c>
      <c r="N68" s="7">
        <f t="shared" si="3"/>
        <v>671700</v>
      </c>
      <c r="O68" s="86"/>
      <c r="P68" s="7">
        <v>2700</v>
      </c>
      <c r="Q68" s="7"/>
      <c r="R68" s="7"/>
      <c r="S68" s="7"/>
      <c r="T68" s="7"/>
      <c r="U68" s="7"/>
      <c r="V68" s="7"/>
      <c r="W68" s="7"/>
      <c r="X68" s="64"/>
      <c r="Y68" s="64"/>
      <c r="Z68" s="64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</row>
    <row r="69" spans="1:54" s="30" customFormat="1" ht="12.75" customHeight="1" x14ac:dyDescent="0.25">
      <c r="A69" s="2"/>
      <c r="B69" s="119">
        <v>1</v>
      </c>
      <c r="C69" s="4"/>
      <c r="D69" s="26"/>
      <c r="E69" s="26"/>
      <c r="F69" s="76">
        <v>45131</v>
      </c>
      <c r="G69" s="114">
        <v>64</v>
      </c>
      <c r="H69" s="5" t="s">
        <v>351</v>
      </c>
      <c r="I69" s="5" t="s">
        <v>247</v>
      </c>
      <c r="J69" s="63" t="s">
        <v>98</v>
      </c>
      <c r="K69" s="6"/>
      <c r="L69" s="6"/>
      <c r="M69" s="118">
        <v>500000</v>
      </c>
      <c r="N69" s="7">
        <f t="shared" si="3"/>
        <v>1171700</v>
      </c>
      <c r="O69" s="86">
        <v>500000</v>
      </c>
      <c r="P69" s="7">
        <v>2250</v>
      </c>
      <c r="Q69" s="7"/>
      <c r="R69" s="7"/>
      <c r="S69" s="7"/>
      <c r="T69" s="7"/>
      <c r="U69" s="7"/>
      <c r="V69" s="7"/>
      <c r="W69" s="7"/>
      <c r="X69" s="64"/>
      <c r="Y69" s="64"/>
      <c r="Z69" s="64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</row>
    <row r="70" spans="1:54" s="30" customFormat="1" ht="12.75" customHeight="1" x14ac:dyDescent="0.25">
      <c r="A70" s="2"/>
      <c r="B70" s="119">
        <v>1</v>
      </c>
      <c r="C70" s="4"/>
      <c r="D70" s="26"/>
      <c r="E70" s="26"/>
      <c r="F70" s="76">
        <v>45133</v>
      </c>
      <c r="G70" s="114">
        <v>65</v>
      </c>
      <c r="H70" s="5" t="s">
        <v>357</v>
      </c>
      <c r="I70" s="5" t="s">
        <v>357</v>
      </c>
      <c r="J70" s="63" t="s">
        <v>99</v>
      </c>
      <c r="K70" s="6"/>
      <c r="L70" s="6"/>
      <c r="M70" s="116">
        <v>2250</v>
      </c>
      <c r="N70" s="7">
        <f t="shared" si="3"/>
        <v>1173950</v>
      </c>
      <c r="O70" s="86"/>
      <c r="P70" s="7">
        <v>2250</v>
      </c>
      <c r="Q70" s="7"/>
      <c r="R70" s="7"/>
      <c r="S70" s="7"/>
      <c r="T70" s="7"/>
      <c r="U70" s="7"/>
      <c r="V70" s="7"/>
      <c r="W70" s="7"/>
      <c r="X70" s="64"/>
      <c r="Y70" s="64"/>
      <c r="Z70" s="64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</row>
    <row r="71" spans="1:54" s="30" customFormat="1" ht="12.75" customHeight="1" x14ac:dyDescent="0.25">
      <c r="A71" s="2"/>
      <c r="B71" s="119">
        <v>1</v>
      </c>
      <c r="C71" s="4"/>
      <c r="D71" s="26"/>
      <c r="E71" s="26"/>
      <c r="F71" s="76">
        <v>45170</v>
      </c>
      <c r="G71" s="114">
        <v>66</v>
      </c>
      <c r="H71" s="5" t="s">
        <v>357</v>
      </c>
      <c r="I71" s="5" t="s">
        <v>357</v>
      </c>
      <c r="J71" s="63" t="s">
        <v>100</v>
      </c>
      <c r="K71" s="6"/>
      <c r="L71" s="6"/>
      <c r="M71" s="116">
        <v>2250</v>
      </c>
      <c r="N71" s="7">
        <f t="shared" si="3"/>
        <v>1176200</v>
      </c>
      <c r="O71" s="86"/>
      <c r="P71" s="7">
        <v>2250</v>
      </c>
      <c r="Q71" s="7"/>
      <c r="R71" s="7"/>
      <c r="S71" s="7"/>
      <c r="T71" s="7"/>
      <c r="U71" s="7"/>
      <c r="V71" s="7"/>
      <c r="W71" s="7"/>
      <c r="X71" s="64"/>
      <c r="Y71" s="64"/>
      <c r="Z71" s="64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</row>
    <row r="72" spans="1:54" s="30" customFormat="1" ht="12.75" customHeight="1" x14ac:dyDescent="0.25">
      <c r="A72" s="2"/>
      <c r="B72" s="119">
        <v>1</v>
      </c>
      <c r="C72" s="4"/>
      <c r="D72" s="26"/>
      <c r="E72" s="26"/>
      <c r="F72" s="76">
        <v>45173</v>
      </c>
      <c r="G72" s="114">
        <v>67</v>
      </c>
      <c r="H72" s="5" t="s">
        <v>357</v>
      </c>
      <c r="I72" s="5" t="s">
        <v>357</v>
      </c>
      <c r="J72" s="63" t="s">
        <v>101</v>
      </c>
      <c r="K72" s="6"/>
      <c r="L72" s="6"/>
      <c r="M72" s="116">
        <v>3150</v>
      </c>
      <c r="N72" s="7">
        <f t="shared" si="3"/>
        <v>1179350</v>
      </c>
      <c r="O72" s="86"/>
      <c r="P72" s="7">
        <v>3150</v>
      </c>
      <c r="Q72" s="7"/>
      <c r="R72" s="7"/>
      <c r="S72" s="7"/>
      <c r="T72" s="7"/>
      <c r="U72" s="7"/>
      <c r="V72" s="7"/>
      <c r="W72" s="7"/>
      <c r="X72" s="64"/>
      <c r="Y72" s="64"/>
      <c r="Z72" s="64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</row>
    <row r="73" spans="1:54" s="30" customFormat="1" ht="12.75" customHeight="1" x14ac:dyDescent="0.25">
      <c r="A73" s="2"/>
      <c r="B73" s="119">
        <v>1</v>
      </c>
      <c r="C73" s="4"/>
      <c r="D73" s="26"/>
      <c r="E73" s="26"/>
      <c r="F73" s="76">
        <v>45176</v>
      </c>
      <c r="G73" s="114">
        <v>68</v>
      </c>
      <c r="H73" s="5" t="s">
        <v>357</v>
      </c>
      <c r="I73" s="5" t="s">
        <v>357</v>
      </c>
      <c r="J73" s="63" t="s">
        <v>102</v>
      </c>
      <c r="K73" s="6"/>
      <c r="L73" s="6"/>
      <c r="M73" s="116">
        <v>2400</v>
      </c>
      <c r="N73" s="7">
        <f t="shared" si="3"/>
        <v>1181750</v>
      </c>
      <c r="O73" s="86"/>
      <c r="P73" s="7">
        <v>2400</v>
      </c>
      <c r="Q73" s="7"/>
      <c r="R73" s="7"/>
      <c r="S73" s="7"/>
      <c r="T73" s="7"/>
      <c r="U73" s="7"/>
      <c r="V73" s="7"/>
      <c r="W73" s="7"/>
      <c r="X73" s="64"/>
      <c r="Y73" s="64"/>
      <c r="Z73" s="64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</row>
    <row r="74" spans="1:54" s="30" customFormat="1" ht="12.75" customHeight="1" x14ac:dyDescent="0.25">
      <c r="A74" s="2"/>
      <c r="B74" s="119">
        <v>1</v>
      </c>
      <c r="C74" s="4"/>
      <c r="D74" s="26"/>
      <c r="E74" s="26"/>
      <c r="F74" s="76">
        <v>45177</v>
      </c>
      <c r="G74" s="114">
        <v>69</v>
      </c>
      <c r="H74" s="5" t="s">
        <v>357</v>
      </c>
      <c r="I74" s="5" t="s">
        <v>357</v>
      </c>
      <c r="J74" s="63" t="s">
        <v>103</v>
      </c>
      <c r="K74" s="6"/>
      <c r="L74" s="6"/>
      <c r="M74" s="116">
        <v>2400</v>
      </c>
      <c r="N74" s="7">
        <f t="shared" si="3"/>
        <v>1184150</v>
      </c>
      <c r="O74" s="86"/>
      <c r="P74" s="7">
        <v>2400</v>
      </c>
      <c r="Q74" s="7"/>
      <c r="R74" s="7"/>
      <c r="S74" s="7"/>
      <c r="T74" s="7"/>
      <c r="U74" s="7"/>
      <c r="V74" s="7"/>
      <c r="W74" s="7"/>
      <c r="X74" s="64"/>
      <c r="Y74" s="64"/>
      <c r="Z74" s="64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</row>
    <row r="75" spans="1:54" s="30" customFormat="1" ht="12.75" customHeight="1" x14ac:dyDescent="0.25">
      <c r="A75" s="2"/>
      <c r="B75" s="119">
        <v>1</v>
      </c>
      <c r="C75" s="4"/>
      <c r="D75" s="26"/>
      <c r="E75" s="26"/>
      <c r="F75" s="76">
        <v>45178</v>
      </c>
      <c r="G75" s="114">
        <v>70</v>
      </c>
      <c r="H75" s="5" t="s">
        <v>16</v>
      </c>
      <c r="I75" s="5" t="s">
        <v>356</v>
      </c>
      <c r="J75" s="63" t="s">
        <v>104</v>
      </c>
      <c r="K75" s="6"/>
      <c r="L75" s="6"/>
      <c r="M75" s="116">
        <v>29800</v>
      </c>
      <c r="N75" s="7">
        <f t="shared" si="3"/>
        <v>1213950</v>
      </c>
      <c r="O75" s="86"/>
      <c r="P75" s="7"/>
      <c r="Q75" s="7"/>
      <c r="R75" s="7"/>
      <c r="S75" s="7"/>
      <c r="T75" s="7"/>
      <c r="U75" s="7"/>
      <c r="V75" s="7"/>
      <c r="W75" s="7"/>
      <c r="X75" s="64"/>
      <c r="Y75" s="64"/>
      <c r="Z75" s="64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</row>
    <row r="76" spans="1:54" s="30" customFormat="1" ht="12.75" customHeight="1" x14ac:dyDescent="0.25">
      <c r="A76" s="2"/>
      <c r="B76" s="119">
        <v>1</v>
      </c>
      <c r="C76" s="4"/>
      <c r="D76" s="26"/>
      <c r="E76" s="26"/>
      <c r="F76" s="76">
        <v>45185</v>
      </c>
      <c r="G76" s="114">
        <v>71</v>
      </c>
      <c r="H76" s="5" t="s">
        <v>16</v>
      </c>
      <c r="I76" s="5" t="s">
        <v>356</v>
      </c>
      <c r="J76" s="63" t="s">
        <v>105</v>
      </c>
      <c r="K76" s="6"/>
      <c r="L76" s="6"/>
      <c r="M76" s="116">
        <v>5800</v>
      </c>
      <c r="N76" s="7">
        <f t="shared" si="3"/>
        <v>1219750</v>
      </c>
      <c r="O76" s="86"/>
      <c r="P76" s="7"/>
      <c r="Q76" s="7"/>
      <c r="R76" s="7"/>
      <c r="S76" s="7"/>
      <c r="T76" s="7"/>
      <c r="U76" s="7"/>
      <c r="V76" s="7"/>
      <c r="W76" s="7"/>
      <c r="X76" s="64"/>
      <c r="Y76" s="64"/>
      <c r="Z76" s="64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</row>
    <row r="77" spans="1:54" s="30" customFormat="1" ht="12.75" customHeight="1" x14ac:dyDescent="0.25">
      <c r="A77" s="2"/>
      <c r="B77" s="119">
        <v>1</v>
      </c>
      <c r="C77" s="4"/>
      <c r="D77" s="26"/>
      <c r="E77" s="26"/>
      <c r="F77" s="77">
        <v>45185</v>
      </c>
      <c r="G77" s="115">
        <v>72</v>
      </c>
      <c r="H77" s="8" t="s">
        <v>107</v>
      </c>
      <c r="I77" s="5" t="s">
        <v>356</v>
      </c>
      <c r="J77" s="65" t="s">
        <v>106</v>
      </c>
      <c r="K77" s="9"/>
      <c r="L77" s="9"/>
      <c r="M77" s="117">
        <v>5800</v>
      </c>
      <c r="N77" s="7">
        <f t="shared" si="3"/>
        <v>1225550</v>
      </c>
      <c r="O77" s="86"/>
      <c r="P77" s="7"/>
      <c r="Q77" s="7"/>
      <c r="R77" s="7"/>
      <c r="S77" s="7"/>
      <c r="T77" s="7"/>
      <c r="U77" s="7"/>
      <c r="V77" s="7"/>
      <c r="W77" s="7"/>
      <c r="X77" s="64"/>
      <c r="Y77" s="64"/>
      <c r="Z77" s="64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</row>
    <row r="78" spans="1:54" s="30" customFormat="1" ht="12.75" customHeight="1" x14ac:dyDescent="0.25">
      <c r="A78" s="2"/>
      <c r="B78" s="119">
        <v>1</v>
      </c>
      <c r="C78" s="4"/>
      <c r="D78" s="26"/>
      <c r="E78" s="26"/>
      <c r="F78" s="77">
        <v>45185</v>
      </c>
      <c r="G78" s="115">
        <v>73</v>
      </c>
      <c r="H78" s="5" t="s">
        <v>16</v>
      </c>
      <c r="I78" s="5" t="s">
        <v>356</v>
      </c>
      <c r="J78" s="65" t="s">
        <v>108</v>
      </c>
      <c r="K78" s="9"/>
      <c r="L78" s="9"/>
      <c r="M78" s="117">
        <v>6600</v>
      </c>
      <c r="N78" s="7">
        <f t="shared" si="3"/>
        <v>1232150</v>
      </c>
      <c r="O78" s="86"/>
      <c r="P78" s="7"/>
      <c r="Q78" s="7"/>
      <c r="R78" s="7"/>
      <c r="S78" s="7"/>
      <c r="T78" s="7"/>
      <c r="U78" s="7"/>
      <c r="V78" s="7"/>
      <c r="W78" s="7"/>
      <c r="X78" s="64"/>
      <c r="Y78" s="64"/>
      <c r="Z78" s="64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</row>
    <row r="79" spans="1:54" s="30" customFormat="1" ht="12.75" customHeight="1" x14ac:dyDescent="0.25">
      <c r="A79" s="2"/>
      <c r="B79" s="119">
        <v>1</v>
      </c>
      <c r="C79" s="4"/>
      <c r="D79" s="26"/>
      <c r="E79" s="26"/>
      <c r="F79" s="77">
        <v>45183</v>
      </c>
      <c r="G79" s="115">
        <v>74</v>
      </c>
      <c r="H79" s="5" t="s">
        <v>16</v>
      </c>
      <c r="I79" s="5" t="s">
        <v>356</v>
      </c>
      <c r="J79" s="65" t="s">
        <v>106</v>
      </c>
      <c r="K79" s="9"/>
      <c r="L79" s="9"/>
      <c r="M79" s="117">
        <v>5000</v>
      </c>
      <c r="N79" s="7">
        <f t="shared" si="3"/>
        <v>1237150</v>
      </c>
      <c r="O79" s="86"/>
      <c r="P79" s="7"/>
      <c r="Q79" s="7"/>
      <c r="R79" s="7"/>
      <c r="S79" s="7"/>
      <c r="T79" s="7"/>
      <c r="U79" s="7"/>
      <c r="V79" s="7"/>
      <c r="W79" s="7"/>
      <c r="X79" s="64"/>
      <c r="Y79" s="64"/>
      <c r="Z79" s="64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</row>
    <row r="80" spans="1:54" s="30" customFormat="1" ht="12.75" customHeight="1" x14ac:dyDescent="0.25">
      <c r="A80" s="2"/>
      <c r="B80" s="119">
        <v>1</v>
      </c>
      <c r="C80" s="4"/>
      <c r="D80" s="26"/>
      <c r="E80" s="26"/>
      <c r="F80" s="76">
        <v>45182</v>
      </c>
      <c r="G80" s="114">
        <v>75</v>
      </c>
      <c r="H80" s="5" t="s">
        <v>14</v>
      </c>
      <c r="I80" s="5" t="s">
        <v>247</v>
      </c>
      <c r="J80" s="63" t="s">
        <v>109</v>
      </c>
      <c r="K80" s="6"/>
      <c r="L80" s="6"/>
      <c r="M80" s="116">
        <v>18680</v>
      </c>
      <c r="N80" s="7">
        <f t="shared" si="3"/>
        <v>1255830</v>
      </c>
      <c r="O80" s="86"/>
      <c r="P80" s="7"/>
      <c r="Q80" s="7"/>
      <c r="R80" s="7"/>
      <c r="S80" s="7"/>
      <c r="T80" s="7"/>
      <c r="U80" s="7"/>
      <c r="V80" s="7"/>
      <c r="W80" s="7"/>
      <c r="X80" s="64"/>
      <c r="Y80" s="64"/>
      <c r="Z80" s="64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</row>
    <row r="81" spans="1:54" s="30" customFormat="1" ht="12.75" customHeight="1" x14ac:dyDescent="0.25">
      <c r="A81" s="2"/>
      <c r="B81" s="119">
        <v>1</v>
      </c>
      <c r="C81" s="4"/>
      <c r="D81" s="26"/>
      <c r="E81" s="26"/>
      <c r="F81" s="76">
        <v>45186</v>
      </c>
      <c r="G81" s="114">
        <v>76</v>
      </c>
      <c r="H81" s="5" t="s">
        <v>16</v>
      </c>
      <c r="I81" s="5" t="s">
        <v>356</v>
      </c>
      <c r="J81" s="63" t="s">
        <v>110</v>
      </c>
      <c r="K81" s="6"/>
      <c r="L81" s="6"/>
      <c r="M81" s="116">
        <v>14500</v>
      </c>
      <c r="N81" s="7">
        <f t="shared" si="3"/>
        <v>1270330</v>
      </c>
      <c r="O81" s="86"/>
      <c r="P81" s="7"/>
      <c r="Q81" s="7"/>
      <c r="R81" s="7"/>
      <c r="S81" s="7"/>
      <c r="T81" s="7"/>
      <c r="U81" s="7"/>
      <c r="V81" s="7"/>
      <c r="W81" s="7"/>
      <c r="X81" s="64"/>
      <c r="Y81" s="64"/>
      <c r="Z81" s="64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</row>
    <row r="82" spans="1:54" s="30" customFormat="1" ht="12.75" customHeight="1" x14ac:dyDescent="0.25">
      <c r="A82" s="2"/>
      <c r="B82" s="119">
        <v>1</v>
      </c>
      <c r="C82" s="4"/>
      <c r="D82" s="26"/>
      <c r="E82" s="26"/>
      <c r="F82" s="76">
        <v>45199</v>
      </c>
      <c r="G82" s="114">
        <v>77</v>
      </c>
      <c r="H82" s="5" t="s">
        <v>16</v>
      </c>
      <c r="I82" s="5" t="s">
        <v>356</v>
      </c>
      <c r="J82" s="63" t="s">
        <v>111</v>
      </c>
      <c r="K82" s="6"/>
      <c r="L82" s="6"/>
      <c r="M82" s="116">
        <v>17400</v>
      </c>
      <c r="N82" s="7">
        <f t="shared" si="3"/>
        <v>1287730</v>
      </c>
      <c r="O82" s="86"/>
      <c r="P82" s="7"/>
      <c r="Q82" s="7"/>
      <c r="R82" s="7"/>
      <c r="S82" s="7"/>
      <c r="T82" s="7"/>
      <c r="U82" s="7"/>
      <c r="V82" s="7"/>
      <c r="W82" s="7"/>
      <c r="X82" s="64"/>
      <c r="Y82" s="64"/>
      <c r="Z82" s="64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</row>
    <row r="83" spans="1:54" s="30" customFormat="1" ht="12.75" customHeight="1" x14ac:dyDescent="0.25">
      <c r="A83" s="2"/>
      <c r="B83" s="119">
        <v>1</v>
      </c>
      <c r="C83" s="4"/>
      <c r="D83" s="26"/>
      <c r="E83" s="26"/>
      <c r="F83" s="76">
        <v>45198</v>
      </c>
      <c r="G83" s="114">
        <v>78</v>
      </c>
      <c r="H83" s="5" t="s">
        <v>112</v>
      </c>
      <c r="I83" s="5" t="s">
        <v>247</v>
      </c>
      <c r="J83" s="63" t="s">
        <v>113</v>
      </c>
      <c r="K83" s="6"/>
      <c r="L83" s="6"/>
      <c r="M83" s="116">
        <v>3880</v>
      </c>
      <c r="N83" s="7">
        <f t="shared" si="3"/>
        <v>1291610</v>
      </c>
      <c r="O83" s="86"/>
      <c r="P83" s="7"/>
      <c r="Q83" s="7"/>
      <c r="R83" s="7"/>
      <c r="S83" s="7"/>
      <c r="T83" s="7"/>
      <c r="U83" s="7"/>
      <c r="V83" s="7"/>
      <c r="W83" s="7"/>
      <c r="X83" s="64"/>
      <c r="Y83" s="64"/>
      <c r="Z83" s="64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</row>
    <row r="84" spans="1:54" s="30" customFormat="1" ht="12.75" customHeight="1" x14ac:dyDescent="0.25">
      <c r="A84" s="2"/>
      <c r="B84" s="119">
        <v>1</v>
      </c>
      <c r="C84" s="4"/>
      <c r="D84" s="26"/>
      <c r="E84" s="26"/>
      <c r="F84" s="76">
        <v>45199</v>
      </c>
      <c r="G84" s="114">
        <v>79</v>
      </c>
      <c r="H84" s="5" t="s">
        <v>64</v>
      </c>
      <c r="I84" s="5" t="s">
        <v>340</v>
      </c>
      <c r="J84" s="63" t="s">
        <v>114</v>
      </c>
      <c r="K84" s="6"/>
      <c r="L84" s="6"/>
      <c r="M84" s="116">
        <v>8056</v>
      </c>
      <c r="N84" s="7">
        <f t="shared" si="3"/>
        <v>1299666</v>
      </c>
      <c r="O84" s="86"/>
      <c r="P84" s="7"/>
      <c r="Q84" s="7"/>
      <c r="R84" s="7"/>
      <c r="S84" s="7"/>
      <c r="T84" s="7"/>
      <c r="U84" s="7"/>
      <c r="V84" s="7"/>
      <c r="W84" s="7"/>
      <c r="X84" s="64"/>
      <c r="Y84" s="64"/>
      <c r="Z84" s="64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</row>
    <row r="85" spans="1:54" s="30" customFormat="1" ht="12.75" customHeight="1" x14ac:dyDescent="0.25">
      <c r="A85" s="2"/>
      <c r="B85" s="119">
        <v>1</v>
      </c>
      <c r="C85" s="4"/>
      <c r="D85" s="26"/>
      <c r="E85" s="26"/>
      <c r="F85" s="76">
        <v>45199</v>
      </c>
      <c r="G85" s="114">
        <v>80</v>
      </c>
      <c r="H85" s="5" t="s">
        <v>64</v>
      </c>
      <c r="I85" s="5" t="s">
        <v>340</v>
      </c>
      <c r="J85" s="63" t="s">
        <v>115</v>
      </c>
      <c r="K85" s="6"/>
      <c r="L85" s="6"/>
      <c r="M85" s="116">
        <v>3600</v>
      </c>
      <c r="N85" s="7">
        <f t="shared" si="3"/>
        <v>1303266</v>
      </c>
      <c r="O85" s="86"/>
      <c r="P85" s="7"/>
      <c r="Q85" s="7"/>
      <c r="R85" s="7"/>
      <c r="S85" s="7"/>
      <c r="T85" s="7"/>
      <c r="U85" s="7"/>
      <c r="V85" s="7"/>
      <c r="W85" s="7"/>
      <c r="X85" s="64"/>
      <c r="Y85" s="64"/>
      <c r="Z85" s="64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</row>
    <row r="86" spans="1:54" s="30" customFormat="1" ht="12.75" customHeight="1" x14ac:dyDescent="0.25">
      <c r="A86" s="2"/>
      <c r="B86" s="119">
        <v>1</v>
      </c>
      <c r="C86" s="4"/>
      <c r="D86" s="26"/>
      <c r="E86" s="26"/>
      <c r="F86" s="76">
        <v>45203</v>
      </c>
      <c r="G86" s="114">
        <v>81</v>
      </c>
      <c r="H86" s="5" t="s">
        <v>16</v>
      </c>
      <c r="I86" s="5" t="s">
        <v>356</v>
      </c>
      <c r="J86" s="63" t="s">
        <v>116</v>
      </c>
      <c r="K86" s="6"/>
      <c r="L86" s="6"/>
      <c r="M86" s="116">
        <v>1000</v>
      </c>
      <c r="N86" s="7">
        <f t="shared" si="3"/>
        <v>1304266</v>
      </c>
      <c r="O86" s="86"/>
      <c r="P86" s="7"/>
      <c r="Q86" s="7"/>
      <c r="R86" s="7"/>
      <c r="S86" s="7"/>
      <c r="T86" s="7"/>
      <c r="U86" s="7"/>
      <c r="V86" s="7"/>
      <c r="W86" s="7"/>
      <c r="X86" s="64"/>
      <c r="Y86" s="64"/>
      <c r="Z86" s="64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</row>
    <row r="87" spans="1:54" s="30" customFormat="1" ht="12.75" customHeight="1" x14ac:dyDescent="0.25">
      <c r="A87" s="2"/>
      <c r="B87" s="119">
        <v>1</v>
      </c>
      <c r="C87" s="4"/>
      <c r="D87" s="26"/>
      <c r="E87" s="26"/>
      <c r="F87" s="76">
        <v>45203</v>
      </c>
      <c r="G87" s="114">
        <v>82</v>
      </c>
      <c r="H87" s="5" t="s">
        <v>8</v>
      </c>
      <c r="I87" s="5" t="s">
        <v>247</v>
      </c>
      <c r="J87" s="63" t="s">
        <v>117</v>
      </c>
      <c r="K87" s="6"/>
      <c r="L87" s="6"/>
      <c r="M87" s="116">
        <v>6380</v>
      </c>
      <c r="N87" s="7">
        <f t="shared" si="3"/>
        <v>1310646</v>
      </c>
      <c r="O87" s="86"/>
      <c r="P87" s="7"/>
      <c r="Q87" s="7"/>
      <c r="R87" s="7"/>
      <c r="S87" s="7"/>
      <c r="T87" s="7"/>
      <c r="U87" s="7"/>
      <c r="V87" s="7"/>
      <c r="W87" s="7"/>
      <c r="X87" s="64"/>
      <c r="Y87" s="64"/>
      <c r="Z87" s="64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</row>
    <row r="88" spans="1:54" s="30" customFormat="1" ht="12.75" customHeight="1" x14ac:dyDescent="0.25">
      <c r="A88" s="2"/>
      <c r="B88" s="119">
        <v>1</v>
      </c>
      <c r="C88" s="4"/>
      <c r="D88" s="26"/>
      <c r="E88" s="26"/>
      <c r="F88" s="76">
        <v>45206</v>
      </c>
      <c r="G88" s="114">
        <v>83</v>
      </c>
      <c r="H88" s="5" t="s">
        <v>16</v>
      </c>
      <c r="I88" s="5" t="s">
        <v>356</v>
      </c>
      <c r="J88" s="63" t="s">
        <v>118</v>
      </c>
      <c r="K88" s="6"/>
      <c r="L88" s="6"/>
      <c r="M88" s="116">
        <v>5800</v>
      </c>
      <c r="N88" s="7">
        <f t="shared" si="3"/>
        <v>1316446</v>
      </c>
      <c r="O88" s="86"/>
      <c r="P88" s="7"/>
      <c r="Q88" s="7"/>
      <c r="R88" s="7"/>
      <c r="S88" s="7"/>
      <c r="T88" s="7"/>
      <c r="U88" s="7"/>
      <c r="V88" s="7"/>
      <c r="W88" s="7"/>
      <c r="X88" s="64"/>
      <c r="Y88" s="64"/>
      <c r="Z88" s="64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</row>
    <row r="89" spans="1:54" s="30" customFormat="1" ht="12.75" customHeight="1" x14ac:dyDescent="0.25">
      <c r="A89" s="2"/>
      <c r="B89" s="119">
        <v>1</v>
      </c>
      <c r="C89" s="4"/>
      <c r="D89" s="26"/>
      <c r="E89" s="26"/>
      <c r="F89" s="76">
        <v>45206</v>
      </c>
      <c r="G89" s="114">
        <v>84</v>
      </c>
      <c r="H89" s="5" t="s">
        <v>16</v>
      </c>
      <c r="I89" s="5" t="s">
        <v>356</v>
      </c>
      <c r="J89" s="63" t="s">
        <v>119</v>
      </c>
      <c r="K89" s="6"/>
      <c r="L89" s="6"/>
      <c r="M89" s="116">
        <v>22200</v>
      </c>
      <c r="N89" s="7">
        <f t="shared" si="3"/>
        <v>1338646</v>
      </c>
      <c r="O89" s="86"/>
      <c r="P89" s="7"/>
      <c r="Q89" s="7"/>
      <c r="R89" s="7"/>
      <c r="S89" s="7"/>
      <c r="T89" s="7"/>
      <c r="U89" s="7"/>
      <c r="V89" s="7"/>
      <c r="W89" s="7"/>
      <c r="X89" s="64"/>
      <c r="Y89" s="64"/>
      <c r="Z89" s="64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</row>
    <row r="90" spans="1:54" s="30" customFormat="1" ht="12.75" customHeight="1" x14ac:dyDescent="0.25">
      <c r="A90" s="2"/>
      <c r="B90" s="119">
        <v>1</v>
      </c>
      <c r="C90" s="4"/>
      <c r="D90" s="26"/>
      <c r="E90" s="26"/>
      <c r="F90" s="76">
        <v>45206</v>
      </c>
      <c r="G90" s="114">
        <v>85</v>
      </c>
      <c r="H90" s="5" t="s">
        <v>41</v>
      </c>
      <c r="I90" s="5" t="s">
        <v>356</v>
      </c>
      <c r="J90" s="63" t="s">
        <v>120</v>
      </c>
      <c r="K90" s="6"/>
      <c r="L90" s="6"/>
      <c r="M90" s="116">
        <v>5800</v>
      </c>
      <c r="N90" s="7">
        <f t="shared" si="3"/>
        <v>1344446</v>
      </c>
      <c r="O90" s="86"/>
      <c r="P90" s="7"/>
      <c r="Q90" s="7"/>
      <c r="R90" s="7"/>
      <c r="S90" s="7"/>
      <c r="T90" s="7"/>
      <c r="U90" s="7"/>
      <c r="V90" s="7"/>
      <c r="W90" s="7"/>
      <c r="X90" s="64"/>
      <c r="Y90" s="64"/>
      <c r="Z90" s="64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</row>
    <row r="91" spans="1:54" s="30" customFormat="1" ht="12.75" customHeight="1" x14ac:dyDescent="0.25">
      <c r="A91" s="2"/>
      <c r="B91" s="119">
        <v>1</v>
      </c>
      <c r="C91" s="4"/>
      <c r="D91" s="26"/>
      <c r="E91" s="26"/>
      <c r="F91" s="76">
        <v>45206</v>
      </c>
      <c r="G91" s="114">
        <v>86</v>
      </c>
      <c r="H91" s="5" t="s">
        <v>41</v>
      </c>
      <c r="I91" s="5" t="s">
        <v>356</v>
      </c>
      <c r="J91" s="63" t="s">
        <v>121</v>
      </c>
      <c r="K91" s="6"/>
      <c r="L91" s="6"/>
      <c r="M91" s="116">
        <v>15100</v>
      </c>
      <c r="N91" s="7">
        <f t="shared" si="3"/>
        <v>1359546</v>
      </c>
      <c r="O91" s="86"/>
      <c r="P91" s="7"/>
      <c r="Q91" s="7"/>
      <c r="R91" s="7"/>
      <c r="S91" s="7"/>
      <c r="T91" s="7"/>
      <c r="U91" s="7"/>
      <c r="V91" s="7"/>
      <c r="W91" s="7"/>
      <c r="X91" s="64"/>
      <c r="Y91" s="64"/>
      <c r="Z91" s="64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</row>
    <row r="92" spans="1:54" s="30" customFormat="1" ht="12.75" customHeight="1" x14ac:dyDescent="0.25">
      <c r="A92" s="2"/>
      <c r="B92" s="119">
        <v>1</v>
      </c>
      <c r="C92" s="4"/>
      <c r="D92" s="26"/>
      <c r="E92" s="26"/>
      <c r="F92" s="76">
        <v>45208</v>
      </c>
      <c r="G92" s="114">
        <v>87</v>
      </c>
      <c r="H92" s="5" t="s">
        <v>357</v>
      </c>
      <c r="I92" s="5" t="s">
        <v>357</v>
      </c>
      <c r="J92" s="63" t="s">
        <v>122</v>
      </c>
      <c r="K92" s="6"/>
      <c r="L92" s="6"/>
      <c r="M92" s="116">
        <v>2250</v>
      </c>
      <c r="N92" s="7">
        <f t="shared" si="3"/>
        <v>1361796</v>
      </c>
      <c r="O92" s="86"/>
      <c r="P92" s="7">
        <v>2250</v>
      </c>
      <c r="Q92" s="7"/>
      <c r="R92" s="7"/>
      <c r="S92" s="7"/>
      <c r="T92" s="7"/>
      <c r="U92" s="7"/>
      <c r="V92" s="7"/>
      <c r="W92" s="7"/>
      <c r="X92" s="64"/>
      <c r="Y92" s="64"/>
      <c r="Z92" s="64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</row>
    <row r="93" spans="1:54" s="30" customFormat="1" ht="12.75" customHeight="1" x14ac:dyDescent="0.25">
      <c r="A93" s="2"/>
      <c r="B93" s="119">
        <v>1</v>
      </c>
      <c r="C93" s="4"/>
      <c r="D93" s="26"/>
      <c r="E93" s="26"/>
      <c r="F93" s="76">
        <v>45213</v>
      </c>
      <c r="G93" s="114">
        <v>88</v>
      </c>
      <c r="H93" s="5" t="s">
        <v>41</v>
      </c>
      <c r="I93" s="5" t="s">
        <v>356</v>
      </c>
      <c r="J93" s="63" t="s">
        <v>123</v>
      </c>
      <c r="K93" s="6"/>
      <c r="L93" s="6"/>
      <c r="M93" s="116">
        <v>5800</v>
      </c>
      <c r="N93" s="7">
        <f t="shared" si="3"/>
        <v>1367596</v>
      </c>
      <c r="O93" s="86"/>
      <c r="P93" s="7"/>
      <c r="Q93" s="7"/>
      <c r="R93" s="7"/>
      <c r="S93" s="7"/>
      <c r="T93" s="7"/>
      <c r="U93" s="7"/>
      <c r="V93" s="7"/>
      <c r="W93" s="7"/>
      <c r="X93" s="64"/>
      <c r="Y93" s="64"/>
      <c r="Z93" s="64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</row>
    <row r="94" spans="1:54" s="30" customFormat="1" ht="12.75" customHeight="1" x14ac:dyDescent="0.25">
      <c r="A94" s="2"/>
      <c r="B94" s="119">
        <v>1</v>
      </c>
      <c r="C94" s="4"/>
      <c r="D94" s="26"/>
      <c r="E94" s="26"/>
      <c r="F94" s="76">
        <v>45213</v>
      </c>
      <c r="G94" s="114">
        <v>89</v>
      </c>
      <c r="H94" s="5" t="s">
        <v>124</v>
      </c>
      <c r="I94" s="5" t="s">
        <v>356</v>
      </c>
      <c r="J94" s="63" t="s">
        <v>125</v>
      </c>
      <c r="K94" s="6"/>
      <c r="L94" s="6"/>
      <c r="M94" s="116">
        <v>11600</v>
      </c>
      <c r="N94" s="7">
        <f t="shared" si="3"/>
        <v>1379196</v>
      </c>
      <c r="O94" s="86"/>
      <c r="P94" s="7"/>
      <c r="Q94" s="7"/>
      <c r="R94" s="7"/>
      <c r="S94" s="7"/>
      <c r="T94" s="7"/>
      <c r="U94" s="7"/>
      <c r="V94" s="7"/>
      <c r="W94" s="7"/>
      <c r="X94" s="64"/>
      <c r="Y94" s="64"/>
      <c r="Z94" s="64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</row>
    <row r="95" spans="1:54" s="30" customFormat="1" ht="12.75" customHeight="1" x14ac:dyDescent="0.25">
      <c r="A95" s="2"/>
      <c r="B95" s="119">
        <v>1</v>
      </c>
      <c r="C95" s="4"/>
      <c r="D95" s="26"/>
      <c r="E95" s="26"/>
      <c r="F95" s="76">
        <v>45207</v>
      </c>
      <c r="G95" s="114">
        <v>90</v>
      </c>
      <c r="H95" s="5" t="s">
        <v>124</v>
      </c>
      <c r="I95" s="5" t="s">
        <v>356</v>
      </c>
      <c r="J95" s="63" t="s">
        <v>126</v>
      </c>
      <c r="K95" s="6"/>
      <c r="L95" s="6"/>
      <c r="M95" s="116">
        <v>17400</v>
      </c>
      <c r="N95" s="7">
        <f t="shared" si="3"/>
        <v>1396596</v>
      </c>
      <c r="O95" s="86"/>
      <c r="P95" s="7"/>
      <c r="Q95" s="7"/>
      <c r="R95" s="7"/>
      <c r="S95" s="7"/>
      <c r="T95" s="7"/>
      <c r="U95" s="7"/>
      <c r="V95" s="7"/>
      <c r="W95" s="7"/>
      <c r="X95" s="64"/>
      <c r="Y95" s="64"/>
      <c r="Z95" s="64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</row>
    <row r="96" spans="1:54" s="30" customFormat="1" ht="12.75" customHeight="1" x14ac:dyDescent="0.25">
      <c r="A96" s="2"/>
      <c r="B96" s="119">
        <v>1</v>
      </c>
      <c r="C96" s="4"/>
      <c r="D96" s="26"/>
      <c r="E96" s="26"/>
      <c r="F96" s="76">
        <v>45213</v>
      </c>
      <c r="G96" s="114">
        <v>91</v>
      </c>
      <c r="H96" s="5" t="s">
        <v>16</v>
      </c>
      <c r="I96" s="5" t="s">
        <v>356</v>
      </c>
      <c r="J96" s="63" t="s">
        <v>127</v>
      </c>
      <c r="K96" s="6"/>
      <c r="L96" s="6"/>
      <c r="M96" s="116">
        <v>3500</v>
      </c>
      <c r="N96" s="7">
        <f t="shared" si="3"/>
        <v>1400096</v>
      </c>
      <c r="O96" s="86"/>
      <c r="P96" s="7"/>
      <c r="Q96" s="7"/>
      <c r="R96" s="7"/>
      <c r="S96" s="7"/>
      <c r="T96" s="7"/>
      <c r="U96" s="7"/>
      <c r="V96" s="7"/>
      <c r="W96" s="7"/>
      <c r="X96" s="64"/>
      <c r="Y96" s="64"/>
      <c r="Z96" s="64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</row>
    <row r="97" spans="1:54" s="30" customFormat="1" ht="12.75" customHeight="1" x14ac:dyDescent="0.25">
      <c r="A97" s="2"/>
      <c r="B97" s="119">
        <v>1</v>
      </c>
      <c r="C97" s="4"/>
      <c r="D97" s="26"/>
      <c r="E97" s="26"/>
      <c r="F97" s="76">
        <v>45213</v>
      </c>
      <c r="G97" s="114">
        <v>92</v>
      </c>
      <c r="H97" s="5" t="s">
        <v>16</v>
      </c>
      <c r="I97" s="5" t="s">
        <v>356</v>
      </c>
      <c r="J97" s="63" t="s">
        <v>128</v>
      </c>
      <c r="K97" s="6"/>
      <c r="L97" s="6"/>
      <c r="M97" s="116">
        <v>29000</v>
      </c>
      <c r="N97" s="7">
        <f t="shared" si="3"/>
        <v>1429096</v>
      </c>
      <c r="O97" s="86"/>
      <c r="P97" s="7"/>
      <c r="Q97" s="7"/>
      <c r="R97" s="7"/>
      <c r="S97" s="7"/>
      <c r="T97" s="7"/>
      <c r="U97" s="7"/>
      <c r="V97" s="7"/>
      <c r="W97" s="7"/>
      <c r="X97" s="64"/>
      <c r="Y97" s="64"/>
      <c r="Z97" s="64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  <row r="98" spans="1:54" s="30" customFormat="1" ht="12.75" customHeight="1" x14ac:dyDescent="0.25">
      <c r="A98" s="2"/>
      <c r="B98" s="119">
        <v>1</v>
      </c>
      <c r="C98" s="4"/>
      <c r="D98" s="26"/>
      <c r="E98" s="26"/>
      <c r="F98" s="76">
        <v>45212</v>
      </c>
      <c r="G98" s="114">
        <v>93</v>
      </c>
      <c r="H98" s="5" t="s">
        <v>357</v>
      </c>
      <c r="I98" s="5" t="s">
        <v>357</v>
      </c>
      <c r="J98" s="63" t="s">
        <v>129</v>
      </c>
      <c r="K98" s="6"/>
      <c r="L98" s="6"/>
      <c r="M98" s="116">
        <v>2500</v>
      </c>
      <c r="N98" s="7">
        <f t="shared" si="3"/>
        <v>1431596</v>
      </c>
      <c r="O98" s="86"/>
      <c r="P98" s="7">
        <v>2500</v>
      </c>
      <c r="Q98" s="7"/>
      <c r="R98" s="7"/>
      <c r="S98" s="7"/>
      <c r="T98" s="7"/>
      <c r="U98" s="7"/>
      <c r="V98" s="7"/>
      <c r="W98" s="7"/>
      <c r="X98" s="64"/>
      <c r="Y98" s="64"/>
      <c r="Z98" s="64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</row>
    <row r="99" spans="1:54" s="30" customFormat="1" ht="12.75" customHeight="1" x14ac:dyDescent="0.25">
      <c r="A99" s="2"/>
      <c r="B99" s="119">
        <v>1</v>
      </c>
      <c r="C99" s="4"/>
      <c r="D99" s="26"/>
      <c r="E99" s="26"/>
      <c r="F99" s="76">
        <v>45212</v>
      </c>
      <c r="G99" s="114">
        <v>94</v>
      </c>
      <c r="H99" s="5" t="s">
        <v>130</v>
      </c>
      <c r="I99" s="5" t="s">
        <v>247</v>
      </c>
      <c r="J99" s="63" t="s">
        <v>131</v>
      </c>
      <c r="K99" s="6"/>
      <c r="L99" s="6"/>
      <c r="M99" s="116">
        <v>38400</v>
      </c>
      <c r="N99" s="7">
        <f t="shared" si="3"/>
        <v>1469996</v>
      </c>
      <c r="O99" s="86"/>
      <c r="P99" s="7"/>
      <c r="Q99" s="7"/>
      <c r="R99" s="7"/>
      <c r="S99" s="7"/>
      <c r="T99" s="7"/>
      <c r="U99" s="7"/>
      <c r="V99" s="7"/>
      <c r="W99" s="7"/>
      <c r="X99" s="64"/>
      <c r="Y99" s="64"/>
      <c r="Z99" s="64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</row>
    <row r="100" spans="1:54" s="30" customFormat="1" ht="12.75" customHeight="1" x14ac:dyDescent="0.25">
      <c r="A100" s="2"/>
      <c r="B100" s="119">
        <v>1</v>
      </c>
      <c r="C100" s="4"/>
      <c r="D100" s="26"/>
      <c r="E100" s="26"/>
      <c r="F100" s="76">
        <v>45213</v>
      </c>
      <c r="G100" s="114">
        <v>95</v>
      </c>
      <c r="H100" s="5" t="s">
        <v>14</v>
      </c>
      <c r="I100" s="5" t="s">
        <v>247</v>
      </c>
      <c r="J100" s="63" t="s">
        <v>132</v>
      </c>
      <c r="K100" s="6"/>
      <c r="L100" s="6"/>
      <c r="M100" s="116">
        <v>142025</v>
      </c>
      <c r="N100" s="7">
        <f t="shared" si="3"/>
        <v>1612021</v>
      </c>
      <c r="O100" s="86"/>
      <c r="P100" s="7"/>
      <c r="Q100" s="7"/>
      <c r="R100" s="7"/>
      <c r="S100" s="7"/>
      <c r="T100" s="7"/>
      <c r="U100" s="7"/>
      <c r="V100" s="7"/>
      <c r="W100" s="7"/>
      <c r="X100" s="64"/>
      <c r="Y100" s="64"/>
      <c r="Z100" s="64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</row>
    <row r="101" spans="1:54" s="30" customFormat="1" ht="12.75" customHeight="1" x14ac:dyDescent="0.25">
      <c r="A101" s="2"/>
      <c r="B101" s="119">
        <v>1</v>
      </c>
      <c r="C101" s="4"/>
      <c r="D101" s="26"/>
      <c r="E101" s="26"/>
      <c r="F101" s="76">
        <v>45213</v>
      </c>
      <c r="G101" s="114">
        <v>96</v>
      </c>
      <c r="H101" s="5" t="s">
        <v>357</v>
      </c>
      <c r="I101" s="5" t="s">
        <v>357</v>
      </c>
      <c r="J101" s="63" t="s">
        <v>133</v>
      </c>
      <c r="K101" s="6"/>
      <c r="L101" s="6"/>
      <c r="M101" s="116">
        <v>2000</v>
      </c>
      <c r="N101" s="7">
        <f t="shared" si="3"/>
        <v>1614021</v>
      </c>
      <c r="O101" s="86"/>
      <c r="P101" s="7">
        <v>2000</v>
      </c>
      <c r="Q101" s="7"/>
      <c r="R101" s="7"/>
      <c r="S101" s="7"/>
      <c r="T101" s="7"/>
      <c r="U101" s="7"/>
      <c r="V101" s="7"/>
      <c r="W101" s="7"/>
      <c r="X101" s="64"/>
      <c r="Y101" s="64"/>
      <c r="Z101" s="64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</row>
    <row r="102" spans="1:54" s="30" customFormat="1" ht="12.75" customHeight="1" x14ac:dyDescent="0.25">
      <c r="A102" s="2"/>
      <c r="B102" s="119">
        <v>1</v>
      </c>
      <c r="C102" s="4"/>
      <c r="D102" s="26"/>
      <c r="E102" s="26"/>
      <c r="F102" s="76">
        <v>45216</v>
      </c>
      <c r="G102" s="114">
        <v>97</v>
      </c>
      <c r="H102" s="5" t="s">
        <v>134</v>
      </c>
      <c r="I102" s="5" t="s">
        <v>247</v>
      </c>
      <c r="J102" s="63" t="s">
        <v>135</v>
      </c>
      <c r="K102" s="6"/>
      <c r="L102" s="6"/>
      <c r="M102" s="116">
        <v>5750</v>
      </c>
      <c r="N102" s="7">
        <f t="shared" si="3"/>
        <v>1619771</v>
      </c>
      <c r="O102" s="86"/>
      <c r="P102" s="7"/>
      <c r="Q102" s="7"/>
      <c r="R102" s="7"/>
      <c r="S102" s="7"/>
      <c r="T102" s="7"/>
      <c r="U102" s="7"/>
      <c r="V102" s="7"/>
      <c r="W102" s="7"/>
      <c r="X102" s="64"/>
      <c r="Y102" s="64"/>
      <c r="Z102" s="64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</row>
    <row r="103" spans="1:54" s="30" customFormat="1" ht="12.75" customHeight="1" x14ac:dyDescent="0.25">
      <c r="A103" s="2"/>
      <c r="B103" s="119">
        <v>1</v>
      </c>
      <c r="C103" s="4"/>
      <c r="D103" s="26"/>
      <c r="E103" s="26"/>
      <c r="F103" s="76">
        <v>45216</v>
      </c>
      <c r="G103" s="114">
        <v>98</v>
      </c>
      <c r="H103" s="5" t="s">
        <v>60</v>
      </c>
      <c r="I103" s="5" t="s">
        <v>247</v>
      </c>
      <c r="J103" s="63" t="s">
        <v>136</v>
      </c>
      <c r="K103" s="6"/>
      <c r="L103" s="6"/>
      <c r="M103" s="116">
        <v>9500</v>
      </c>
      <c r="N103" s="7">
        <f t="shared" si="3"/>
        <v>1629271</v>
      </c>
      <c r="O103" s="86"/>
      <c r="P103" s="7"/>
      <c r="Q103" s="7"/>
      <c r="R103" s="7"/>
      <c r="S103" s="7"/>
      <c r="T103" s="7"/>
      <c r="U103" s="7"/>
      <c r="V103" s="7"/>
      <c r="W103" s="7"/>
      <c r="X103" s="64"/>
      <c r="Y103" s="64"/>
      <c r="Z103" s="64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spans="1:54" s="30" customFormat="1" ht="12.75" customHeight="1" x14ac:dyDescent="0.25">
      <c r="A104" s="2"/>
      <c r="B104" s="119">
        <v>1</v>
      </c>
      <c r="C104" s="4"/>
      <c r="D104" s="26"/>
      <c r="E104" s="26"/>
      <c r="F104" s="76">
        <v>45216</v>
      </c>
      <c r="G104" s="114">
        <v>99</v>
      </c>
      <c r="H104" s="5" t="s">
        <v>58</v>
      </c>
      <c r="I104" s="5" t="s">
        <v>247</v>
      </c>
      <c r="J104" s="63" t="s">
        <v>137</v>
      </c>
      <c r="K104" s="6"/>
      <c r="L104" s="6"/>
      <c r="M104" s="116">
        <v>15000</v>
      </c>
      <c r="N104" s="7">
        <f t="shared" si="3"/>
        <v>1644271</v>
      </c>
      <c r="O104" s="86"/>
      <c r="P104" s="7"/>
      <c r="Q104" s="7"/>
      <c r="R104" s="7"/>
      <c r="S104" s="7"/>
      <c r="T104" s="7"/>
      <c r="U104" s="7"/>
      <c r="V104" s="7"/>
      <c r="W104" s="7"/>
      <c r="X104" s="64"/>
      <c r="Y104" s="64"/>
      <c r="Z104" s="64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</row>
    <row r="105" spans="1:54" s="30" customFormat="1" ht="12.75" customHeight="1" x14ac:dyDescent="0.25">
      <c r="A105" s="2"/>
      <c r="B105" s="119">
        <v>1</v>
      </c>
      <c r="C105" s="4"/>
      <c r="D105" s="26"/>
      <c r="E105" s="26"/>
      <c r="F105" s="76">
        <v>45219</v>
      </c>
      <c r="G105" s="114">
        <v>100</v>
      </c>
      <c r="H105" s="5" t="s">
        <v>138</v>
      </c>
      <c r="I105" s="5" t="s">
        <v>418</v>
      </c>
      <c r="J105" s="63" t="s">
        <v>139</v>
      </c>
      <c r="K105" s="6"/>
      <c r="L105" s="6"/>
      <c r="M105" s="116">
        <v>10800</v>
      </c>
      <c r="N105" s="7">
        <f t="shared" si="3"/>
        <v>1655071</v>
      </c>
      <c r="O105" s="86"/>
      <c r="P105" s="7"/>
      <c r="Q105" s="7"/>
      <c r="R105" s="7"/>
      <c r="S105" s="7"/>
      <c r="T105" s="7"/>
      <c r="U105" s="7"/>
      <c r="V105" s="7"/>
      <c r="W105" s="7"/>
      <c r="X105" s="64"/>
      <c r="Y105" s="64"/>
      <c r="Z105" s="64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</row>
    <row r="106" spans="1:54" s="30" customFormat="1" ht="12.75" customHeight="1" x14ac:dyDescent="0.25">
      <c r="A106" s="2"/>
      <c r="B106" s="119">
        <v>1</v>
      </c>
      <c r="C106" s="4"/>
      <c r="D106" s="26"/>
      <c r="E106" s="26"/>
      <c r="F106" s="76">
        <v>45220</v>
      </c>
      <c r="G106" s="114">
        <v>101</v>
      </c>
      <c r="H106" s="5" t="s">
        <v>41</v>
      </c>
      <c r="I106" s="5" t="s">
        <v>418</v>
      </c>
      <c r="J106" s="63" t="s">
        <v>140</v>
      </c>
      <c r="K106" s="6"/>
      <c r="L106" s="6"/>
      <c r="M106" s="116">
        <v>20900</v>
      </c>
      <c r="N106" s="7">
        <f t="shared" si="3"/>
        <v>1675971</v>
      </c>
      <c r="O106" s="86"/>
      <c r="P106" s="7"/>
      <c r="Q106" s="7"/>
      <c r="R106" s="7"/>
      <c r="S106" s="7"/>
      <c r="T106" s="7"/>
      <c r="U106" s="7"/>
      <c r="V106" s="7"/>
      <c r="W106" s="7"/>
      <c r="X106" s="64"/>
      <c r="Y106" s="64"/>
      <c r="Z106" s="64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</row>
    <row r="107" spans="1:54" s="30" customFormat="1" ht="12.75" customHeight="1" x14ac:dyDescent="0.25">
      <c r="A107" s="2"/>
      <c r="B107" s="119">
        <v>1</v>
      </c>
      <c r="C107" s="4"/>
      <c r="D107" s="26"/>
      <c r="E107" s="26"/>
      <c r="F107" s="76">
        <v>45220</v>
      </c>
      <c r="G107" s="114">
        <v>102</v>
      </c>
      <c r="H107" s="5" t="s">
        <v>16</v>
      </c>
      <c r="I107" s="5" t="s">
        <v>418</v>
      </c>
      <c r="J107" s="63" t="s">
        <v>141</v>
      </c>
      <c r="K107" s="6"/>
      <c r="L107" s="6"/>
      <c r="M107" s="116">
        <v>22100</v>
      </c>
      <c r="N107" s="7">
        <f t="shared" si="3"/>
        <v>1698071</v>
      </c>
      <c r="O107" s="86"/>
      <c r="P107" s="7"/>
      <c r="Q107" s="7"/>
      <c r="R107" s="7"/>
      <c r="S107" s="7"/>
      <c r="T107" s="7"/>
      <c r="U107" s="7"/>
      <c r="V107" s="7"/>
      <c r="W107" s="7"/>
      <c r="X107" s="64"/>
      <c r="Y107" s="64"/>
      <c r="Z107" s="64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</row>
    <row r="108" spans="1:54" s="30" customFormat="1" ht="12.75" customHeight="1" x14ac:dyDescent="0.25">
      <c r="A108" s="2"/>
      <c r="B108" s="119">
        <v>1</v>
      </c>
      <c r="C108" s="4"/>
      <c r="D108" s="26"/>
      <c r="E108" s="26"/>
      <c r="F108" s="76">
        <v>45220</v>
      </c>
      <c r="G108" s="114">
        <v>103</v>
      </c>
      <c r="H108" s="5" t="s">
        <v>142</v>
      </c>
      <c r="I108" s="5" t="s">
        <v>418</v>
      </c>
      <c r="J108" s="63" t="s">
        <v>143</v>
      </c>
      <c r="K108" s="6"/>
      <c r="L108" s="6"/>
      <c r="M108" s="116">
        <v>23200</v>
      </c>
      <c r="N108" s="7">
        <f t="shared" si="3"/>
        <v>1721271</v>
      </c>
      <c r="O108" s="86"/>
      <c r="P108" s="7"/>
      <c r="Q108" s="7"/>
      <c r="R108" s="7"/>
      <c r="S108" s="7"/>
      <c r="T108" s="7"/>
      <c r="U108" s="7"/>
      <c r="V108" s="7"/>
      <c r="W108" s="7"/>
      <c r="X108" s="64"/>
      <c r="Y108" s="64"/>
      <c r="Z108" s="64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</row>
    <row r="109" spans="1:54" s="30" customFormat="1" ht="12.75" customHeight="1" x14ac:dyDescent="0.25">
      <c r="A109" s="2"/>
      <c r="B109" s="119">
        <v>1</v>
      </c>
      <c r="C109" s="4"/>
      <c r="D109" s="26"/>
      <c r="E109" s="26"/>
      <c r="F109" s="76">
        <v>45217</v>
      </c>
      <c r="G109" s="114">
        <v>104</v>
      </c>
      <c r="H109" s="5" t="s">
        <v>14</v>
      </c>
      <c r="I109" s="5" t="s">
        <v>418</v>
      </c>
      <c r="J109" s="63" t="s">
        <v>144</v>
      </c>
      <c r="K109" s="6"/>
      <c r="L109" s="6"/>
      <c r="M109" s="116">
        <f>26570+6150</f>
        <v>32720</v>
      </c>
      <c r="N109" s="7">
        <f t="shared" si="3"/>
        <v>1753991</v>
      </c>
      <c r="O109" s="86"/>
      <c r="P109" s="7"/>
      <c r="Q109" s="7"/>
      <c r="R109" s="7"/>
      <c r="S109" s="7"/>
      <c r="T109" s="7"/>
      <c r="U109" s="7"/>
      <c r="V109" s="7"/>
      <c r="W109" s="7"/>
      <c r="X109" s="64"/>
      <c r="Y109" s="64"/>
      <c r="Z109" s="64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</row>
    <row r="110" spans="1:54" s="30" customFormat="1" ht="12.75" customHeight="1" x14ac:dyDescent="0.25">
      <c r="A110" s="2"/>
      <c r="B110" s="119">
        <v>1</v>
      </c>
      <c r="C110" s="4"/>
      <c r="D110" s="26"/>
      <c r="E110" s="26"/>
      <c r="F110" s="76">
        <v>45218</v>
      </c>
      <c r="G110" s="114">
        <v>105</v>
      </c>
      <c r="H110" s="5" t="s">
        <v>27</v>
      </c>
      <c r="I110" s="5" t="s">
        <v>418</v>
      </c>
      <c r="J110" s="63" t="s">
        <v>145</v>
      </c>
      <c r="K110" s="6"/>
      <c r="L110" s="6"/>
      <c r="M110" s="116">
        <v>1900</v>
      </c>
      <c r="N110" s="7">
        <f t="shared" si="3"/>
        <v>1755891</v>
      </c>
      <c r="O110" s="86"/>
      <c r="P110" s="7"/>
      <c r="Q110" s="7"/>
      <c r="R110" s="7"/>
      <c r="S110" s="7"/>
      <c r="T110" s="7"/>
      <c r="U110" s="7"/>
      <c r="V110" s="7"/>
      <c r="W110" s="7"/>
      <c r="X110" s="64"/>
      <c r="Y110" s="64"/>
      <c r="Z110" s="64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</row>
    <row r="111" spans="1:54" s="30" customFormat="1" ht="12.75" customHeight="1" x14ac:dyDescent="0.25">
      <c r="A111" s="2"/>
      <c r="B111" s="119">
        <v>1</v>
      </c>
      <c r="C111" s="4"/>
      <c r="D111" s="26"/>
      <c r="E111" s="26"/>
      <c r="F111" s="76">
        <v>45215</v>
      </c>
      <c r="G111" s="114">
        <v>106</v>
      </c>
      <c r="H111" s="5" t="s">
        <v>146</v>
      </c>
      <c r="I111" s="5" t="s">
        <v>418</v>
      </c>
      <c r="J111" s="63" t="s">
        <v>147</v>
      </c>
      <c r="K111" s="6"/>
      <c r="L111" s="6"/>
      <c r="M111" s="116">
        <v>2430</v>
      </c>
      <c r="N111" s="7">
        <f t="shared" si="3"/>
        <v>1758321</v>
      </c>
      <c r="O111" s="86"/>
      <c r="P111" s="7"/>
      <c r="Q111" s="7"/>
      <c r="R111" s="7"/>
      <c r="S111" s="7"/>
      <c r="T111" s="7"/>
      <c r="U111" s="7"/>
      <c r="V111" s="7"/>
      <c r="W111" s="7"/>
      <c r="X111" s="64"/>
      <c r="Y111" s="64"/>
      <c r="Z111" s="64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</row>
    <row r="112" spans="1:54" s="30" customFormat="1" ht="12.75" customHeight="1" x14ac:dyDescent="0.25">
      <c r="A112" s="2"/>
      <c r="B112" s="119">
        <v>1</v>
      </c>
      <c r="C112" s="4"/>
      <c r="D112" s="26"/>
      <c r="E112" s="26"/>
      <c r="F112" s="76">
        <v>45251</v>
      </c>
      <c r="G112" s="114">
        <v>107</v>
      </c>
      <c r="H112" s="5" t="s">
        <v>148</v>
      </c>
      <c r="I112" s="5" t="s">
        <v>418</v>
      </c>
      <c r="J112" s="63" t="s">
        <v>149</v>
      </c>
      <c r="K112" s="6"/>
      <c r="L112" s="6"/>
      <c r="M112" s="116">
        <v>7000</v>
      </c>
      <c r="N112" s="7">
        <f t="shared" si="3"/>
        <v>1765321</v>
      </c>
      <c r="O112" s="86"/>
      <c r="P112" s="7"/>
      <c r="Q112" s="7"/>
      <c r="R112" s="7"/>
      <c r="S112" s="7"/>
      <c r="T112" s="7"/>
      <c r="U112" s="7"/>
      <c r="V112" s="7"/>
      <c r="W112" s="7"/>
      <c r="X112" s="64"/>
      <c r="Y112" s="64"/>
      <c r="Z112" s="64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</row>
    <row r="113" spans="1:54" s="30" customFormat="1" ht="12.75" customHeight="1" x14ac:dyDescent="0.25">
      <c r="A113" s="2"/>
      <c r="B113" s="119">
        <v>1</v>
      </c>
      <c r="C113" s="4"/>
      <c r="D113" s="26"/>
      <c r="E113" s="26"/>
      <c r="F113" s="76">
        <v>45252</v>
      </c>
      <c r="G113" s="114">
        <v>108</v>
      </c>
      <c r="H113" s="5" t="s">
        <v>16</v>
      </c>
      <c r="I113" s="5" t="s">
        <v>418</v>
      </c>
      <c r="J113" s="63" t="s">
        <v>150</v>
      </c>
      <c r="K113" s="6"/>
      <c r="L113" s="6"/>
      <c r="M113" s="116">
        <v>2000</v>
      </c>
      <c r="N113" s="7">
        <f t="shared" si="3"/>
        <v>1767321</v>
      </c>
      <c r="O113" s="86"/>
      <c r="P113" s="7"/>
      <c r="Q113" s="7"/>
      <c r="R113" s="7"/>
      <c r="S113" s="7"/>
      <c r="T113" s="7"/>
      <c r="U113" s="7"/>
      <c r="V113" s="7"/>
      <c r="W113" s="7"/>
      <c r="X113" s="64"/>
      <c r="Y113" s="64"/>
      <c r="Z113" s="64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</row>
    <row r="114" spans="1:54" s="30" customFormat="1" ht="12.75" customHeight="1" x14ac:dyDescent="0.25">
      <c r="A114" s="2"/>
      <c r="B114" s="119">
        <v>1</v>
      </c>
      <c r="C114" s="4"/>
      <c r="D114" s="26"/>
      <c r="E114" s="26"/>
      <c r="F114" s="76">
        <v>45255</v>
      </c>
      <c r="G114" s="114">
        <v>109</v>
      </c>
      <c r="H114" s="5" t="s">
        <v>16</v>
      </c>
      <c r="I114" s="5" t="s">
        <v>418</v>
      </c>
      <c r="J114" s="63" t="s">
        <v>151</v>
      </c>
      <c r="K114" s="6"/>
      <c r="L114" s="6"/>
      <c r="M114" s="116">
        <v>16600</v>
      </c>
      <c r="N114" s="7">
        <f t="shared" si="3"/>
        <v>1783921</v>
      </c>
      <c r="O114" s="86"/>
      <c r="P114" s="7"/>
      <c r="Q114" s="7"/>
      <c r="R114" s="7"/>
      <c r="S114" s="7"/>
      <c r="T114" s="7"/>
      <c r="U114" s="7"/>
      <c r="V114" s="7"/>
      <c r="W114" s="7"/>
      <c r="X114" s="64"/>
      <c r="Y114" s="64"/>
      <c r="Z114" s="64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</row>
    <row r="115" spans="1:54" s="30" customFormat="1" ht="12.75" customHeight="1" x14ac:dyDescent="0.25">
      <c r="A115" s="2"/>
      <c r="B115" s="119">
        <v>1</v>
      </c>
      <c r="C115" s="4"/>
      <c r="D115" s="26"/>
      <c r="E115" s="26"/>
      <c r="F115" s="76">
        <v>45258</v>
      </c>
      <c r="G115" s="114">
        <v>110</v>
      </c>
      <c r="H115" s="5" t="s">
        <v>16</v>
      </c>
      <c r="I115" s="5" t="s">
        <v>418</v>
      </c>
      <c r="J115" s="63" t="s">
        <v>152</v>
      </c>
      <c r="K115" s="6"/>
      <c r="L115" s="6"/>
      <c r="M115" s="116">
        <v>2000</v>
      </c>
      <c r="N115" s="7">
        <f t="shared" si="3"/>
        <v>1785921</v>
      </c>
      <c r="O115" s="86"/>
      <c r="P115" s="7"/>
      <c r="Q115" s="7"/>
      <c r="R115" s="7"/>
      <c r="S115" s="7"/>
      <c r="T115" s="7"/>
      <c r="U115" s="7"/>
      <c r="V115" s="7"/>
      <c r="W115" s="7"/>
      <c r="X115" s="64"/>
      <c r="Y115" s="64"/>
      <c r="Z115" s="64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</row>
    <row r="116" spans="1:54" s="30" customFormat="1" ht="12.75" customHeight="1" x14ac:dyDescent="0.25">
      <c r="A116" s="2"/>
      <c r="B116" s="119">
        <v>1</v>
      </c>
      <c r="C116" s="4"/>
      <c r="D116" s="26"/>
      <c r="E116" s="26"/>
      <c r="F116" s="76">
        <v>45258</v>
      </c>
      <c r="G116" s="114">
        <v>111</v>
      </c>
      <c r="H116" s="5" t="s">
        <v>153</v>
      </c>
      <c r="I116" s="5" t="s">
        <v>418</v>
      </c>
      <c r="J116" s="63" t="s">
        <v>154</v>
      </c>
      <c r="K116" s="6"/>
      <c r="L116" s="6"/>
      <c r="M116" s="116">
        <v>99000</v>
      </c>
      <c r="N116" s="7">
        <f t="shared" si="3"/>
        <v>1884921</v>
      </c>
      <c r="O116" s="86"/>
      <c r="P116" s="7"/>
      <c r="Q116" s="7"/>
      <c r="R116" s="7"/>
      <c r="S116" s="7"/>
      <c r="T116" s="7"/>
      <c r="U116" s="7"/>
      <c r="V116" s="7"/>
      <c r="W116" s="7"/>
      <c r="X116" s="64"/>
      <c r="Y116" s="64"/>
      <c r="Z116" s="64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</row>
    <row r="117" spans="1:54" s="30" customFormat="1" ht="12.75" customHeight="1" x14ac:dyDescent="0.25">
      <c r="A117" s="2"/>
      <c r="B117" s="119">
        <v>1</v>
      </c>
      <c r="C117" s="4"/>
      <c r="D117" s="26"/>
      <c r="E117" s="26"/>
      <c r="F117" s="76">
        <v>45258</v>
      </c>
      <c r="G117" s="114">
        <v>112</v>
      </c>
      <c r="H117" s="5" t="s">
        <v>357</v>
      </c>
      <c r="I117" s="5" t="s">
        <v>357</v>
      </c>
      <c r="J117" s="63" t="s">
        <v>155</v>
      </c>
      <c r="K117" s="6"/>
      <c r="L117" s="6"/>
      <c r="M117" s="116">
        <v>15000</v>
      </c>
      <c r="N117" s="7">
        <f t="shared" si="3"/>
        <v>1899921</v>
      </c>
      <c r="O117" s="86"/>
      <c r="P117" s="7">
        <v>15000</v>
      </c>
      <c r="Q117" s="7"/>
      <c r="R117" s="7"/>
      <c r="S117" s="7"/>
      <c r="T117" s="7"/>
      <c r="U117" s="7"/>
      <c r="V117" s="7"/>
      <c r="W117" s="7"/>
      <c r="X117" s="64"/>
      <c r="Y117" s="64"/>
      <c r="Z117" s="64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</row>
    <row r="118" spans="1:54" s="30" customFormat="1" ht="12.75" customHeight="1" x14ac:dyDescent="0.25">
      <c r="A118" s="2"/>
      <c r="B118" s="119">
        <v>1</v>
      </c>
      <c r="C118" s="4"/>
      <c r="D118" s="26"/>
      <c r="E118" s="26"/>
      <c r="F118" s="76">
        <v>45258</v>
      </c>
      <c r="G118" s="114">
        <v>113</v>
      </c>
      <c r="H118" s="5" t="s">
        <v>70</v>
      </c>
      <c r="I118" s="5" t="s">
        <v>418</v>
      </c>
      <c r="J118" s="63" t="s">
        <v>156</v>
      </c>
      <c r="K118" s="6"/>
      <c r="L118" s="6"/>
      <c r="M118" s="116">
        <v>6000</v>
      </c>
      <c r="N118" s="7">
        <f t="shared" si="3"/>
        <v>1905921</v>
      </c>
      <c r="O118" s="86"/>
      <c r="P118" s="7"/>
      <c r="Q118" s="7"/>
      <c r="R118" s="7"/>
      <c r="S118" s="7">
        <v>6000</v>
      </c>
      <c r="T118" s="7"/>
      <c r="U118" s="7"/>
      <c r="V118" s="7"/>
      <c r="W118" s="7"/>
      <c r="X118" s="64"/>
      <c r="Y118" s="64"/>
      <c r="Z118" s="64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</row>
    <row r="119" spans="1:54" s="30" customFormat="1" ht="12.75" customHeight="1" x14ac:dyDescent="0.25">
      <c r="A119" s="2"/>
      <c r="B119" s="119">
        <v>1</v>
      </c>
      <c r="C119" s="4"/>
      <c r="D119" s="26"/>
      <c r="E119" s="26"/>
      <c r="F119" s="76">
        <v>45255</v>
      </c>
      <c r="G119" s="114">
        <v>114</v>
      </c>
      <c r="H119" s="5" t="s">
        <v>70</v>
      </c>
      <c r="I119" s="5" t="s">
        <v>418</v>
      </c>
      <c r="J119" s="63" t="s">
        <v>157</v>
      </c>
      <c r="K119" s="6"/>
      <c r="L119" s="6"/>
      <c r="M119" s="116">
        <v>3000</v>
      </c>
      <c r="N119" s="7">
        <f t="shared" si="3"/>
        <v>1908921</v>
      </c>
      <c r="O119" s="86"/>
      <c r="P119" s="7">
        <v>3000</v>
      </c>
      <c r="Q119" s="7"/>
      <c r="R119" s="7"/>
      <c r="S119" s="7"/>
      <c r="T119" s="7"/>
      <c r="U119" s="7"/>
      <c r="V119" s="7"/>
      <c r="W119" s="7"/>
      <c r="X119" s="64"/>
      <c r="Y119" s="64"/>
      <c r="Z119" s="64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</row>
    <row r="120" spans="1:54" s="30" customFormat="1" ht="12.75" customHeight="1" x14ac:dyDescent="0.25">
      <c r="A120" s="2"/>
      <c r="B120" s="119">
        <v>1</v>
      </c>
      <c r="C120" s="4"/>
      <c r="D120" s="26"/>
      <c r="E120" s="26"/>
      <c r="F120" s="76">
        <v>45259</v>
      </c>
      <c r="G120" s="114">
        <v>115</v>
      </c>
      <c r="H120" s="5" t="s">
        <v>8</v>
      </c>
      <c r="I120" s="5" t="s">
        <v>418</v>
      </c>
      <c r="J120" s="63" t="s">
        <v>158</v>
      </c>
      <c r="K120" s="6"/>
      <c r="L120" s="6"/>
      <c r="M120" s="116">
        <v>20000</v>
      </c>
      <c r="N120" s="7">
        <f t="shared" si="3"/>
        <v>1928921</v>
      </c>
      <c r="O120" s="86"/>
      <c r="P120" s="7"/>
      <c r="Q120" s="7"/>
      <c r="R120" s="7"/>
      <c r="S120" s="7"/>
      <c r="T120" s="7"/>
      <c r="U120" s="7"/>
      <c r="V120" s="7"/>
      <c r="W120" s="7"/>
      <c r="X120" s="64"/>
      <c r="Y120" s="64"/>
      <c r="Z120" s="64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</row>
    <row r="121" spans="1:54" s="30" customFormat="1" ht="12.75" customHeight="1" x14ac:dyDescent="0.25">
      <c r="A121" s="2"/>
      <c r="B121" s="119">
        <v>1</v>
      </c>
      <c r="C121" s="4"/>
      <c r="D121" s="26"/>
      <c r="E121" s="26"/>
      <c r="F121" s="76">
        <v>45259</v>
      </c>
      <c r="G121" s="114">
        <v>116</v>
      </c>
      <c r="H121" s="5" t="s">
        <v>357</v>
      </c>
      <c r="I121" s="5" t="s">
        <v>357</v>
      </c>
      <c r="J121" s="63" t="s">
        <v>159</v>
      </c>
      <c r="K121" s="6"/>
      <c r="L121" s="6"/>
      <c r="M121" s="116">
        <v>3000</v>
      </c>
      <c r="N121" s="7">
        <f t="shared" si="3"/>
        <v>1931921</v>
      </c>
      <c r="O121" s="86"/>
      <c r="P121" s="7">
        <v>3000</v>
      </c>
      <c r="Q121" s="7"/>
      <c r="R121" s="7"/>
      <c r="S121" s="7"/>
      <c r="T121" s="7"/>
      <c r="U121" s="7"/>
      <c r="V121" s="7"/>
      <c r="W121" s="7"/>
      <c r="X121" s="64"/>
      <c r="Y121" s="64"/>
      <c r="Z121" s="64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</row>
    <row r="122" spans="1:54" s="30" customFormat="1" ht="12.75" customHeight="1" x14ac:dyDescent="0.25">
      <c r="A122" s="2"/>
      <c r="B122" s="119">
        <v>1</v>
      </c>
      <c r="C122" s="4"/>
      <c r="D122" s="26"/>
      <c r="E122" s="26"/>
      <c r="F122" s="76">
        <v>45262</v>
      </c>
      <c r="G122" s="114">
        <v>117</v>
      </c>
      <c r="H122" s="5" t="s">
        <v>16</v>
      </c>
      <c r="I122" s="5" t="s">
        <v>418</v>
      </c>
      <c r="J122" s="63" t="s">
        <v>161</v>
      </c>
      <c r="K122" s="6"/>
      <c r="L122" s="6"/>
      <c r="M122" s="116">
        <v>21200</v>
      </c>
      <c r="N122" s="7">
        <f t="shared" si="3"/>
        <v>1953121</v>
      </c>
      <c r="O122" s="86"/>
      <c r="P122" s="7"/>
      <c r="Q122" s="7"/>
      <c r="R122" s="7"/>
      <c r="S122" s="7"/>
      <c r="T122" s="7"/>
      <c r="U122" s="7"/>
      <c r="V122" s="7"/>
      <c r="W122" s="7"/>
      <c r="X122" s="64"/>
      <c r="Y122" s="64"/>
      <c r="Z122" s="64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</row>
    <row r="123" spans="1:54" s="30" customFormat="1" ht="12.75" customHeight="1" x14ac:dyDescent="0.25">
      <c r="A123" s="2"/>
      <c r="B123" s="119">
        <v>1</v>
      </c>
      <c r="C123" s="4"/>
      <c r="D123" s="26"/>
      <c r="E123" s="26"/>
      <c r="F123" s="76">
        <v>45261</v>
      </c>
      <c r="G123" s="114">
        <v>118</v>
      </c>
      <c r="H123" s="5" t="s">
        <v>27</v>
      </c>
      <c r="I123" s="5" t="s">
        <v>418</v>
      </c>
      <c r="J123" s="63" t="s">
        <v>160</v>
      </c>
      <c r="K123" s="6"/>
      <c r="L123" s="6"/>
      <c r="M123" s="116">
        <v>1700</v>
      </c>
      <c r="N123" s="7">
        <f t="shared" ref="N123:N186" si="14">M123+N122</f>
        <v>1954821</v>
      </c>
      <c r="O123" s="86"/>
      <c r="P123" s="7"/>
      <c r="Q123" s="7"/>
      <c r="R123" s="7"/>
      <c r="S123" s="7"/>
      <c r="T123" s="7"/>
      <c r="U123" s="7"/>
      <c r="V123" s="7"/>
      <c r="W123" s="7"/>
      <c r="X123" s="64"/>
      <c r="Y123" s="64"/>
      <c r="Z123" s="64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</row>
    <row r="124" spans="1:54" s="30" customFormat="1" ht="12.75" customHeight="1" x14ac:dyDescent="0.25">
      <c r="A124" s="2"/>
      <c r="B124" s="119">
        <v>1</v>
      </c>
      <c r="C124" s="4"/>
      <c r="D124" s="26"/>
      <c r="E124" s="26"/>
      <c r="F124" s="76">
        <v>45266</v>
      </c>
      <c r="G124" s="114">
        <v>119</v>
      </c>
      <c r="H124" s="5" t="s">
        <v>16</v>
      </c>
      <c r="I124" s="5" t="s">
        <v>418</v>
      </c>
      <c r="J124" s="63" t="s">
        <v>162</v>
      </c>
      <c r="K124" s="6"/>
      <c r="L124" s="6"/>
      <c r="M124" s="116">
        <v>5000</v>
      </c>
      <c r="N124" s="7">
        <f t="shared" si="14"/>
        <v>1959821</v>
      </c>
      <c r="O124" s="86"/>
      <c r="P124" s="7"/>
      <c r="Q124" s="7"/>
      <c r="R124" s="7"/>
      <c r="S124" s="7"/>
      <c r="T124" s="7"/>
      <c r="U124" s="7"/>
      <c r="V124" s="7"/>
      <c r="W124" s="7"/>
      <c r="X124" s="64"/>
      <c r="Y124" s="64"/>
      <c r="Z124" s="64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</row>
    <row r="125" spans="1:54" s="30" customFormat="1" ht="12.75" customHeight="1" x14ac:dyDescent="0.25">
      <c r="A125" s="2"/>
      <c r="B125" s="119">
        <v>1</v>
      </c>
      <c r="C125" s="4"/>
      <c r="D125" s="26"/>
      <c r="E125" s="26"/>
      <c r="F125" s="76">
        <v>45268</v>
      </c>
      <c r="G125" s="114">
        <v>120</v>
      </c>
      <c r="H125" s="5" t="s">
        <v>16</v>
      </c>
      <c r="I125" s="5" t="s">
        <v>418</v>
      </c>
      <c r="J125" s="63" t="s">
        <v>163</v>
      </c>
      <c r="K125" s="6"/>
      <c r="L125" s="6"/>
      <c r="M125" s="116">
        <v>1000</v>
      </c>
      <c r="N125" s="7">
        <f t="shared" si="14"/>
        <v>1960821</v>
      </c>
      <c r="O125" s="86"/>
      <c r="P125" s="7"/>
      <c r="Q125" s="7"/>
      <c r="R125" s="7"/>
      <c r="S125" s="7"/>
      <c r="T125" s="7"/>
      <c r="U125" s="7"/>
      <c r="V125" s="7"/>
      <c r="W125" s="7"/>
      <c r="X125" s="64"/>
      <c r="Y125" s="64"/>
      <c r="Z125" s="64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</row>
    <row r="126" spans="1:54" s="30" customFormat="1" ht="12.75" customHeight="1" x14ac:dyDescent="0.25">
      <c r="A126" s="2"/>
      <c r="B126" s="119">
        <v>1</v>
      </c>
      <c r="C126" s="4"/>
      <c r="D126" s="26"/>
      <c r="E126" s="26"/>
      <c r="F126" s="76">
        <v>45271</v>
      </c>
      <c r="G126" s="114">
        <v>121</v>
      </c>
      <c r="H126" s="5" t="s">
        <v>8</v>
      </c>
      <c r="I126" s="5" t="s">
        <v>418</v>
      </c>
      <c r="J126" s="63" t="s">
        <v>164</v>
      </c>
      <c r="K126" s="6"/>
      <c r="L126" s="6"/>
      <c r="M126" s="116">
        <v>2300</v>
      </c>
      <c r="N126" s="7">
        <f t="shared" si="14"/>
        <v>1963121</v>
      </c>
      <c r="O126" s="86"/>
      <c r="P126" s="7"/>
      <c r="Q126" s="7"/>
      <c r="R126" s="7"/>
      <c r="S126" s="7"/>
      <c r="T126" s="7"/>
      <c r="U126" s="7"/>
      <c r="V126" s="7"/>
      <c r="W126" s="7"/>
      <c r="X126" s="64"/>
      <c r="Y126" s="64"/>
      <c r="Z126" s="64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</row>
    <row r="127" spans="1:54" s="30" customFormat="1" ht="12.75" customHeight="1" x14ac:dyDescent="0.25">
      <c r="A127" s="2"/>
      <c r="B127" s="119">
        <v>1</v>
      </c>
      <c r="C127" s="4"/>
      <c r="D127" s="26"/>
      <c r="E127" s="26"/>
      <c r="F127" s="76">
        <v>45269</v>
      </c>
      <c r="G127" s="114">
        <v>122</v>
      </c>
      <c r="H127" s="5" t="s">
        <v>16</v>
      </c>
      <c r="I127" s="5" t="s">
        <v>418</v>
      </c>
      <c r="J127" s="63" t="s">
        <v>165</v>
      </c>
      <c r="K127" s="6"/>
      <c r="L127" s="6"/>
      <c r="M127" s="116">
        <v>62500</v>
      </c>
      <c r="N127" s="7">
        <f t="shared" si="14"/>
        <v>2025621</v>
      </c>
      <c r="O127" s="86"/>
      <c r="P127" s="7"/>
      <c r="Q127" s="7"/>
      <c r="R127" s="7"/>
      <c r="S127" s="7"/>
      <c r="T127" s="7"/>
      <c r="U127" s="7"/>
      <c r="V127" s="7"/>
      <c r="W127" s="7"/>
      <c r="X127" s="64"/>
      <c r="Y127" s="64"/>
      <c r="Z127" s="64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</row>
    <row r="128" spans="1:54" s="30" customFormat="1" ht="12.75" customHeight="1" x14ac:dyDescent="0.25">
      <c r="A128" s="2"/>
      <c r="B128" s="119">
        <v>1</v>
      </c>
      <c r="C128" s="4"/>
      <c r="D128" s="26"/>
      <c r="E128" s="26"/>
      <c r="F128" s="76">
        <v>45271</v>
      </c>
      <c r="G128" s="114">
        <v>123</v>
      </c>
      <c r="H128" s="5" t="s">
        <v>166</v>
      </c>
      <c r="I128" s="5" t="s">
        <v>418</v>
      </c>
      <c r="J128" s="63" t="s">
        <v>167</v>
      </c>
      <c r="K128" s="6"/>
      <c r="L128" s="6"/>
      <c r="M128" s="116">
        <v>19000</v>
      </c>
      <c r="N128" s="7">
        <f t="shared" si="14"/>
        <v>2044621</v>
      </c>
      <c r="O128" s="86"/>
      <c r="P128" s="7"/>
      <c r="Q128" s="7"/>
      <c r="R128" s="7"/>
      <c r="S128" s="7"/>
      <c r="T128" s="7"/>
      <c r="U128" s="7"/>
      <c r="V128" s="7"/>
      <c r="W128" s="7"/>
      <c r="X128" s="64"/>
      <c r="Y128" s="64"/>
      <c r="Z128" s="64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</row>
    <row r="129" spans="1:54" s="30" customFormat="1" ht="12.75" customHeight="1" x14ac:dyDescent="0.25">
      <c r="A129" s="2"/>
      <c r="B129" s="119">
        <v>1</v>
      </c>
      <c r="C129" s="4"/>
      <c r="D129" s="26"/>
      <c r="E129" s="26"/>
      <c r="F129" s="76">
        <v>45272</v>
      </c>
      <c r="G129" s="114">
        <v>124</v>
      </c>
      <c r="H129" s="5" t="s">
        <v>27</v>
      </c>
      <c r="I129" s="5" t="s">
        <v>418</v>
      </c>
      <c r="J129" s="63" t="s">
        <v>168</v>
      </c>
      <c r="K129" s="6"/>
      <c r="L129" s="6"/>
      <c r="M129" s="116">
        <v>19380</v>
      </c>
      <c r="N129" s="7">
        <f t="shared" si="14"/>
        <v>2064001</v>
      </c>
      <c r="O129" s="86"/>
      <c r="P129" s="7"/>
      <c r="Q129" s="7"/>
      <c r="R129" s="7"/>
      <c r="S129" s="7"/>
      <c r="T129" s="7"/>
      <c r="U129" s="7"/>
      <c r="V129" s="7"/>
      <c r="W129" s="7"/>
      <c r="X129" s="64"/>
      <c r="Y129" s="64"/>
      <c r="Z129" s="64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</row>
    <row r="130" spans="1:54" s="30" customFormat="1" ht="12.75" customHeight="1" x14ac:dyDescent="0.25">
      <c r="A130" s="2"/>
      <c r="B130" s="119">
        <v>1</v>
      </c>
      <c r="C130" s="4"/>
      <c r="D130" s="26"/>
      <c r="E130" s="26"/>
      <c r="F130" s="76">
        <v>45271</v>
      </c>
      <c r="G130" s="114">
        <v>125</v>
      </c>
      <c r="H130" s="5" t="s">
        <v>169</v>
      </c>
      <c r="I130" s="5" t="s">
        <v>418</v>
      </c>
      <c r="J130" s="63" t="s">
        <v>170</v>
      </c>
      <c r="K130" s="6"/>
      <c r="L130" s="6"/>
      <c r="M130" s="116">
        <v>45000</v>
      </c>
      <c r="N130" s="7">
        <f t="shared" si="14"/>
        <v>2109001</v>
      </c>
      <c r="O130" s="86"/>
      <c r="P130" s="7"/>
      <c r="Q130" s="7"/>
      <c r="R130" s="7"/>
      <c r="S130" s="7"/>
      <c r="T130" s="7"/>
      <c r="U130" s="7"/>
      <c r="V130" s="7"/>
      <c r="W130" s="7"/>
      <c r="X130" s="64"/>
      <c r="Y130" s="64"/>
      <c r="Z130" s="64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</row>
    <row r="131" spans="1:54" s="30" customFormat="1" ht="12.75" customHeight="1" x14ac:dyDescent="0.25">
      <c r="A131" s="2"/>
      <c r="B131" s="119">
        <v>1</v>
      </c>
      <c r="C131" s="4"/>
      <c r="D131" s="26"/>
      <c r="E131" s="26"/>
      <c r="F131" s="76">
        <v>45275</v>
      </c>
      <c r="G131" s="114">
        <v>126</v>
      </c>
      <c r="H131" s="5" t="s">
        <v>16</v>
      </c>
      <c r="I131" s="5" t="s">
        <v>418</v>
      </c>
      <c r="J131" s="63" t="s">
        <v>171</v>
      </c>
      <c r="K131" s="6"/>
      <c r="L131" s="6"/>
      <c r="M131" s="116">
        <v>2000</v>
      </c>
      <c r="N131" s="7">
        <f t="shared" si="14"/>
        <v>2111001</v>
      </c>
      <c r="O131" s="86"/>
      <c r="P131" s="7"/>
      <c r="Q131" s="7"/>
      <c r="R131" s="7"/>
      <c r="S131" s="7"/>
      <c r="T131" s="7"/>
      <c r="U131" s="7"/>
      <c r="V131" s="7"/>
      <c r="W131" s="7"/>
      <c r="X131" s="64"/>
      <c r="Y131" s="64"/>
      <c r="Z131" s="64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</row>
    <row r="132" spans="1:54" s="30" customFormat="1" ht="12.75" customHeight="1" x14ac:dyDescent="0.25">
      <c r="A132" s="2"/>
      <c r="B132" s="119">
        <v>1</v>
      </c>
      <c r="C132" s="4"/>
      <c r="D132" s="26"/>
      <c r="E132" s="26"/>
      <c r="F132" s="76">
        <v>45276</v>
      </c>
      <c r="G132" s="114">
        <v>127</v>
      </c>
      <c r="H132" s="5" t="s">
        <v>16</v>
      </c>
      <c r="I132" s="5" t="s">
        <v>418</v>
      </c>
      <c r="J132" s="63" t="s">
        <v>172</v>
      </c>
      <c r="K132" s="6"/>
      <c r="L132" s="6"/>
      <c r="M132" s="116">
        <v>71100</v>
      </c>
      <c r="N132" s="7">
        <f t="shared" si="14"/>
        <v>2182101</v>
      </c>
      <c r="O132" s="86"/>
      <c r="P132" s="7"/>
      <c r="Q132" s="7"/>
      <c r="R132" s="7"/>
      <c r="S132" s="7"/>
      <c r="T132" s="7"/>
      <c r="U132" s="7"/>
      <c r="V132" s="7"/>
      <c r="W132" s="7"/>
      <c r="X132" s="64"/>
      <c r="Y132" s="64"/>
      <c r="Z132" s="64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</row>
    <row r="133" spans="1:54" s="30" customFormat="1" ht="12.75" customHeight="1" x14ac:dyDescent="0.25">
      <c r="A133" s="2"/>
      <c r="B133" s="119">
        <v>1</v>
      </c>
      <c r="C133" s="4"/>
      <c r="D133" s="26"/>
      <c r="E133" s="26"/>
      <c r="F133" s="76">
        <v>45280</v>
      </c>
      <c r="G133" s="114">
        <v>128</v>
      </c>
      <c r="H133" s="5" t="s">
        <v>45</v>
      </c>
      <c r="I133" s="5" t="s">
        <v>418</v>
      </c>
      <c r="J133" s="63" t="s">
        <v>173</v>
      </c>
      <c r="K133" s="6"/>
      <c r="L133" s="6"/>
      <c r="M133" s="116">
        <v>2000</v>
      </c>
      <c r="N133" s="7">
        <f t="shared" si="14"/>
        <v>2184101</v>
      </c>
      <c r="O133" s="86"/>
      <c r="P133" s="7"/>
      <c r="Q133" s="7"/>
      <c r="R133" s="7"/>
      <c r="S133" s="7"/>
      <c r="T133" s="7"/>
      <c r="U133" s="7"/>
      <c r="V133" s="7"/>
      <c r="W133" s="7"/>
      <c r="X133" s="64"/>
      <c r="Y133" s="64"/>
      <c r="Z133" s="64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</row>
    <row r="134" spans="1:54" s="30" customFormat="1" ht="12.75" customHeight="1" x14ac:dyDescent="0.25">
      <c r="A134" s="2"/>
      <c r="B134" s="119">
        <v>1</v>
      </c>
      <c r="C134" s="4"/>
      <c r="D134" s="26"/>
      <c r="E134" s="26"/>
      <c r="F134" s="76">
        <v>45279</v>
      </c>
      <c r="G134" s="114">
        <v>129</v>
      </c>
      <c r="H134" s="5" t="s">
        <v>8</v>
      </c>
      <c r="I134" s="5" t="s">
        <v>418</v>
      </c>
      <c r="J134" s="63" t="s">
        <v>174</v>
      </c>
      <c r="K134" s="6"/>
      <c r="L134" s="6"/>
      <c r="M134" s="116">
        <v>10000</v>
      </c>
      <c r="N134" s="7">
        <f t="shared" si="14"/>
        <v>2194101</v>
      </c>
      <c r="O134" s="86"/>
      <c r="P134" s="7"/>
      <c r="Q134" s="7"/>
      <c r="R134" s="7"/>
      <c r="S134" s="7"/>
      <c r="T134" s="7"/>
      <c r="U134" s="7"/>
      <c r="V134" s="7"/>
      <c r="W134" s="7"/>
      <c r="X134" s="64"/>
      <c r="Y134" s="64"/>
      <c r="Z134" s="64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</row>
    <row r="135" spans="1:54" s="30" customFormat="1" ht="12.75" customHeight="1" x14ac:dyDescent="0.25">
      <c r="A135" s="2"/>
      <c r="B135" s="119">
        <v>1</v>
      </c>
      <c r="C135" s="4"/>
      <c r="D135" s="26"/>
      <c r="E135" s="26"/>
      <c r="F135" s="76">
        <v>45284</v>
      </c>
      <c r="G135" s="114">
        <v>130</v>
      </c>
      <c r="H135" s="5" t="s">
        <v>16</v>
      </c>
      <c r="I135" s="5" t="s">
        <v>418</v>
      </c>
      <c r="J135" s="63" t="s">
        <v>175</v>
      </c>
      <c r="K135" s="6"/>
      <c r="L135" s="6"/>
      <c r="M135" s="116">
        <v>56000</v>
      </c>
      <c r="N135" s="7">
        <f t="shared" si="14"/>
        <v>2250101</v>
      </c>
      <c r="O135" s="86"/>
      <c r="P135" s="7"/>
      <c r="Q135" s="7"/>
      <c r="R135" s="7"/>
      <c r="S135" s="7"/>
      <c r="T135" s="7"/>
      <c r="U135" s="7"/>
      <c r="V135" s="7"/>
      <c r="W135" s="7"/>
      <c r="X135" s="64"/>
      <c r="Y135" s="64"/>
      <c r="Z135" s="64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</row>
    <row r="136" spans="1:54" s="30" customFormat="1" ht="12.75" customHeight="1" x14ac:dyDescent="0.25">
      <c r="A136" s="2"/>
      <c r="B136" s="119">
        <v>1</v>
      </c>
      <c r="C136" s="4"/>
      <c r="D136" s="26"/>
      <c r="E136" s="26"/>
      <c r="F136" s="76">
        <v>45285</v>
      </c>
      <c r="G136" s="114">
        <v>131</v>
      </c>
      <c r="H136" s="5" t="s">
        <v>8</v>
      </c>
      <c r="I136" s="5" t="s">
        <v>418</v>
      </c>
      <c r="J136" s="63" t="s">
        <v>176</v>
      </c>
      <c r="K136" s="6"/>
      <c r="L136" s="6"/>
      <c r="M136" s="116">
        <v>10000</v>
      </c>
      <c r="N136" s="7">
        <f t="shared" si="14"/>
        <v>2260101</v>
      </c>
      <c r="O136" s="86"/>
      <c r="P136" s="7"/>
      <c r="Q136" s="7"/>
      <c r="R136" s="7"/>
      <c r="S136" s="7"/>
      <c r="T136" s="7"/>
      <c r="U136" s="7"/>
      <c r="V136" s="7"/>
      <c r="W136" s="7"/>
      <c r="X136" s="64"/>
      <c r="Y136" s="64"/>
      <c r="Z136" s="64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</row>
    <row r="137" spans="1:54" s="30" customFormat="1" ht="12.75" customHeight="1" x14ac:dyDescent="0.25">
      <c r="A137" s="2"/>
      <c r="B137" s="119">
        <v>1</v>
      </c>
      <c r="C137" s="4"/>
      <c r="D137" s="26"/>
      <c r="E137" s="26"/>
      <c r="F137" s="76">
        <v>45285</v>
      </c>
      <c r="G137" s="114">
        <v>132</v>
      </c>
      <c r="H137" s="5" t="s">
        <v>357</v>
      </c>
      <c r="I137" s="5" t="s">
        <v>357</v>
      </c>
      <c r="J137" s="63" t="s">
        <v>177</v>
      </c>
      <c r="K137" s="6"/>
      <c r="L137" s="6"/>
      <c r="M137" s="116">
        <v>700</v>
      </c>
      <c r="N137" s="7">
        <f t="shared" si="14"/>
        <v>2260801</v>
      </c>
      <c r="O137" s="86"/>
      <c r="P137" s="7">
        <v>700</v>
      </c>
      <c r="Q137" s="7"/>
      <c r="R137" s="7"/>
      <c r="S137" s="7"/>
      <c r="T137" s="7"/>
      <c r="U137" s="7"/>
      <c r="V137" s="7"/>
      <c r="W137" s="7"/>
      <c r="X137" s="64"/>
      <c r="Y137" s="64"/>
      <c r="Z137" s="64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</row>
    <row r="138" spans="1:54" s="30" customFormat="1" ht="12.75" customHeight="1" x14ac:dyDescent="0.25">
      <c r="A138" s="2"/>
      <c r="B138" s="119">
        <v>1</v>
      </c>
      <c r="C138" s="4"/>
      <c r="D138" s="26"/>
      <c r="E138" s="26"/>
      <c r="F138" s="76">
        <v>45213</v>
      </c>
      <c r="G138" s="114">
        <v>133</v>
      </c>
      <c r="H138" s="5" t="s">
        <v>357</v>
      </c>
      <c r="I138" s="5" t="s">
        <v>357</v>
      </c>
      <c r="J138" s="63" t="s">
        <v>178</v>
      </c>
      <c r="K138" s="6"/>
      <c r="L138" s="6"/>
      <c r="M138" s="116">
        <v>4650</v>
      </c>
      <c r="N138" s="7">
        <f t="shared" si="14"/>
        <v>2265451</v>
      </c>
      <c r="O138" s="86"/>
      <c r="P138" s="7">
        <v>4650</v>
      </c>
      <c r="Q138" s="7"/>
      <c r="R138" s="7"/>
      <c r="S138" s="7"/>
      <c r="T138" s="7"/>
      <c r="U138" s="7"/>
      <c r="V138" s="7"/>
      <c r="W138" s="7"/>
      <c r="X138" s="64"/>
      <c r="Y138" s="64"/>
      <c r="Z138" s="64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</row>
    <row r="139" spans="1:54" s="30" customFormat="1" ht="12.75" customHeight="1" x14ac:dyDescent="0.25">
      <c r="A139" s="2"/>
      <c r="B139" s="119">
        <v>1</v>
      </c>
      <c r="C139" s="4"/>
      <c r="D139" s="26"/>
      <c r="E139" s="26"/>
      <c r="F139" s="76">
        <v>45224</v>
      </c>
      <c r="G139" s="114">
        <v>134</v>
      </c>
      <c r="H139" s="5" t="s">
        <v>357</v>
      </c>
      <c r="I139" s="5" t="s">
        <v>357</v>
      </c>
      <c r="J139" s="63" t="s">
        <v>179</v>
      </c>
      <c r="K139" s="6"/>
      <c r="L139" s="6"/>
      <c r="M139" s="116">
        <v>8250</v>
      </c>
      <c r="N139" s="7">
        <f t="shared" si="14"/>
        <v>2273701</v>
      </c>
      <c r="O139" s="86"/>
      <c r="P139" s="7">
        <v>8250</v>
      </c>
      <c r="Q139" s="7"/>
      <c r="R139" s="7"/>
      <c r="S139" s="7"/>
      <c r="T139" s="7"/>
      <c r="U139" s="7"/>
      <c r="V139" s="7"/>
      <c r="W139" s="7"/>
      <c r="X139" s="64"/>
      <c r="Y139" s="64"/>
      <c r="Z139" s="64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</row>
    <row r="140" spans="1:54" s="30" customFormat="1" ht="12.75" customHeight="1" x14ac:dyDescent="0.25">
      <c r="A140" s="2"/>
      <c r="B140" s="119">
        <v>1</v>
      </c>
      <c r="C140" s="4"/>
      <c r="D140" s="26"/>
      <c r="E140" s="26"/>
      <c r="F140" s="76">
        <v>45252</v>
      </c>
      <c r="G140" s="114">
        <v>135</v>
      </c>
      <c r="H140" s="5" t="s">
        <v>357</v>
      </c>
      <c r="I140" s="5" t="s">
        <v>357</v>
      </c>
      <c r="J140" s="63" t="s">
        <v>180</v>
      </c>
      <c r="K140" s="6"/>
      <c r="L140" s="6"/>
      <c r="M140" s="116">
        <v>2100</v>
      </c>
      <c r="N140" s="7">
        <f t="shared" si="14"/>
        <v>2275801</v>
      </c>
      <c r="O140" s="86"/>
      <c r="P140" s="7">
        <v>2100</v>
      </c>
      <c r="Q140" s="7"/>
      <c r="R140" s="7"/>
      <c r="S140" s="7"/>
      <c r="T140" s="7"/>
      <c r="U140" s="7"/>
      <c r="V140" s="7"/>
      <c r="W140" s="7"/>
      <c r="X140" s="64"/>
      <c r="Y140" s="64"/>
      <c r="Z140" s="64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</row>
    <row r="141" spans="1:54" s="30" customFormat="1" ht="12.75" customHeight="1" x14ac:dyDescent="0.25">
      <c r="A141" s="2"/>
      <c r="B141" s="119">
        <v>1</v>
      </c>
      <c r="C141" s="4"/>
      <c r="D141" s="26"/>
      <c r="E141" s="26"/>
      <c r="F141" s="76">
        <v>45266</v>
      </c>
      <c r="G141" s="114">
        <v>136</v>
      </c>
      <c r="H141" s="5" t="s">
        <v>357</v>
      </c>
      <c r="I141" s="5" t="s">
        <v>357</v>
      </c>
      <c r="J141" s="63" t="s">
        <v>181</v>
      </c>
      <c r="K141" s="6"/>
      <c r="L141" s="6"/>
      <c r="M141" s="116">
        <v>8700</v>
      </c>
      <c r="N141" s="7">
        <f t="shared" si="14"/>
        <v>2284501</v>
      </c>
      <c r="O141" s="86"/>
      <c r="P141" s="7">
        <v>8700</v>
      </c>
      <c r="Q141" s="7"/>
      <c r="R141" s="7"/>
      <c r="S141" s="7"/>
      <c r="T141" s="7"/>
      <c r="U141" s="7"/>
      <c r="V141" s="7"/>
      <c r="W141" s="7"/>
      <c r="X141" s="64"/>
      <c r="Y141" s="64"/>
      <c r="Z141" s="64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</row>
    <row r="142" spans="1:54" s="30" customFormat="1" ht="12.75" customHeight="1" x14ac:dyDescent="0.25">
      <c r="A142" s="2"/>
      <c r="B142" s="119">
        <v>1</v>
      </c>
      <c r="C142" s="4"/>
      <c r="D142" s="26"/>
      <c r="E142" s="26"/>
      <c r="F142" s="76">
        <v>45281</v>
      </c>
      <c r="G142" s="114">
        <v>137</v>
      </c>
      <c r="H142" s="5" t="s">
        <v>357</v>
      </c>
      <c r="I142" s="5" t="s">
        <v>357</v>
      </c>
      <c r="J142" s="63" t="s">
        <v>182</v>
      </c>
      <c r="K142" s="6"/>
      <c r="L142" s="6"/>
      <c r="M142" s="116">
        <v>10800</v>
      </c>
      <c r="N142" s="7">
        <f t="shared" si="14"/>
        <v>2295301</v>
      </c>
      <c r="O142" s="86"/>
      <c r="P142" s="7">
        <v>10800</v>
      </c>
      <c r="Q142" s="7"/>
      <c r="R142" s="7"/>
      <c r="S142" s="7"/>
      <c r="T142" s="7"/>
      <c r="U142" s="7"/>
      <c r="V142" s="7"/>
      <c r="W142" s="7"/>
      <c r="X142" s="64"/>
      <c r="Y142" s="64"/>
      <c r="Z142" s="64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</row>
    <row r="143" spans="1:54" s="30" customFormat="1" ht="12.75" customHeight="1" x14ac:dyDescent="0.25">
      <c r="A143" s="2"/>
      <c r="B143" s="119">
        <v>1</v>
      </c>
      <c r="C143" s="4"/>
      <c r="D143" s="26"/>
      <c r="E143" s="26"/>
      <c r="F143" s="76">
        <v>45288</v>
      </c>
      <c r="G143" s="114">
        <v>138</v>
      </c>
      <c r="H143" s="5" t="s">
        <v>45</v>
      </c>
      <c r="I143" s="5" t="s">
        <v>418</v>
      </c>
      <c r="J143" s="63" t="s">
        <v>183</v>
      </c>
      <c r="K143" s="6"/>
      <c r="L143" s="6"/>
      <c r="M143" s="116">
        <v>3000</v>
      </c>
      <c r="N143" s="7">
        <f t="shared" si="14"/>
        <v>2298301</v>
      </c>
      <c r="O143" s="86"/>
      <c r="P143" s="7"/>
      <c r="Q143" s="7"/>
      <c r="R143" s="7"/>
      <c r="S143" s="7"/>
      <c r="T143" s="7"/>
      <c r="U143" s="7"/>
      <c r="V143" s="7"/>
      <c r="W143" s="7"/>
      <c r="X143" s="64"/>
      <c r="Y143" s="64"/>
      <c r="Z143" s="64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</row>
    <row r="144" spans="1:54" s="30" customFormat="1" ht="12.75" customHeight="1" x14ac:dyDescent="0.25">
      <c r="A144" s="2"/>
      <c r="B144" s="119">
        <v>1</v>
      </c>
      <c r="C144" s="4"/>
      <c r="D144" s="26"/>
      <c r="E144" s="26"/>
      <c r="F144" s="76">
        <v>45261</v>
      </c>
      <c r="G144" s="114">
        <v>139</v>
      </c>
      <c r="H144" s="5" t="s">
        <v>197</v>
      </c>
      <c r="I144" s="5" t="s">
        <v>418</v>
      </c>
      <c r="J144" s="63" t="s">
        <v>184</v>
      </c>
      <c r="K144" s="6"/>
      <c r="L144" s="6"/>
      <c r="M144" s="116">
        <v>262535</v>
      </c>
      <c r="N144" s="7">
        <f t="shared" si="14"/>
        <v>2560836</v>
      </c>
      <c r="O144" s="86"/>
      <c r="P144" s="7"/>
      <c r="Q144" s="7"/>
      <c r="R144" s="7"/>
      <c r="S144" s="7"/>
      <c r="T144" s="7"/>
      <c r="U144" s="7"/>
      <c r="V144" s="7"/>
      <c r="W144" s="7"/>
      <c r="X144" s="64"/>
      <c r="Y144" s="64"/>
      <c r="Z144" s="64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</row>
    <row r="145" spans="1:54" s="30" customFormat="1" ht="12.75" customHeight="1" x14ac:dyDescent="0.25">
      <c r="A145" s="2"/>
      <c r="B145" s="119">
        <v>1</v>
      </c>
      <c r="C145" s="4"/>
      <c r="D145" s="26"/>
      <c r="E145" s="26"/>
      <c r="F145" s="76">
        <v>45288</v>
      </c>
      <c r="G145" s="114">
        <v>140</v>
      </c>
      <c r="H145" s="5" t="s">
        <v>197</v>
      </c>
      <c r="I145" s="5" t="s">
        <v>418</v>
      </c>
      <c r="J145" s="63" t="s">
        <v>185</v>
      </c>
      <c r="K145" s="6"/>
      <c r="L145" s="6"/>
      <c r="M145" s="116">
        <v>87780</v>
      </c>
      <c r="N145" s="7">
        <f t="shared" si="14"/>
        <v>2648616</v>
      </c>
      <c r="O145" s="86"/>
      <c r="P145" s="7"/>
      <c r="Q145" s="7"/>
      <c r="R145" s="7"/>
      <c r="S145" s="7"/>
      <c r="T145" s="7"/>
      <c r="U145" s="7"/>
      <c r="V145" s="7"/>
      <c r="W145" s="7"/>
      <c r="X145" s="64"/>
      <c r="Y145" s="64"/>
      <c r="Z145" s="64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</row>
    <row r="146" spans="1:54" s="30" customFormat="1" ht="12.75" customHeight="1" x14ac:dyDescent="0.25">
      <c r="A146" s="2"/>
      <c r="B146" s="119">
        <v>1</v>
      </c>
      <c r="C146" s="4"/>
      <c r="D146" s="26"/>
      <c r="E146" s="26"/>
      <c r="F146" s="76">
        <v>45289</v>
      </c>
      <c r="G146" s="114">
        <v>141</v>
      </c>
      <c r="H146" s="5" t="s">
        <v>8</v>
      </c>
      <c r="I146" s="5" t="s">
        <v>418</v>
      </c>
      <c r="J146" s="63" t="s">
        <v>186</v>
      </c>
      <c r="K146" s="6"/>
      <c r="L146" s="6"/>
      <c r="M146" s="116">
        <v>7800</v>
      </c>
      <c r="N146" s="7">
        <f t="shared" si="14"/>
        <v>2656416</v>
      </c>
      <c r="O146" s="86"/>
      <c r="P146" s="7"/>
      <c r="Q146" s="7"/>
      <c r="R146" s="7"/>
      <c r="S146" s="7"/>
      <c r="T146" s="7"/>
      <c r="U146" s="7"/>
      <c r="V146" s="7"/>
      <c r="W146" s="7"/>
      <c r="X146" s="64"/>
      <c r="Y146" s="64"/>
      <c r="Z146" s="64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</row>
    <row r="147" spans="1:54" s="30" customFormat="1" ht="12.75" customHeight="1" x14ac:dyDescent="0.25">
      <c r="A147" s="2"/>
      <c r="B147" s="119">
        <v>1</v>
      </c>
      <c r="C147" s="4"/>
      <c r="D147" s="26"/>
      <c r="E147" s="26"/>
      <c r="F147" s="76">
        <v>45290</v>
      </c>
      <c r="G147" s="114">
        <v>142</v>
      </c>
      <c r="H147" s="5" t="s">
        <v>16</v>
      </c>
      <c r="I147" s="5" t="s">
        <v>418</v>
      </c>
      <c r="J147" s="66" t="s">
        <v>188</v>
      </c>
      <c r="K147" s="6"/>
      <c r="L147" s="6"/>
      <c r="M147" s="116">
        <v>50400</v>
      </c>
      <c r="N147" s="7">
        <f t="shared" si="14"/>
        <v>2706816</v>
      </c>
      <c r="O147" s="86"/>
      <c r="P147" s="7"/>
      <c r="Q147" s="7"/>
      <c r="R147" s="7"/>
      <c r="S147" s="7"/>
      <c r="T147" s="7"/>
      <c r="U147" s="7"/>
      <c r="V147" s="7"/>
      <c r="W147" s="7"/>
      <c r="X147" s="64"/>
      <c r="Y147" s="64"/>
      <c r="Z147" s="64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</row>
    <row r="148" spans="1:54" s="30" customFormat="1" ht="12.75" customHeight="1" x14ac:dyDescent="0.25">
      <c r="A148" s="2"/>
      <c r="B148" s="119">
        <v>1</v>
      </c>
      <c r="C148" s="4"/>
      <c r="D148" s="26"/>
      <c r="E148" s="26"/>
      <c r="F148" s="76">
        <v>45295</v>
      </c>
      <c r="G148" s="114">
        <v>143</v>
      </c>
      <c r="H148" s="5" t="s">
        <v>16</v>
      </c>
      <c r="I148" s="5" t="s">
        <v>418</v>
      </c>
      <c r="J148" s="66" t="s">
        <v>187</v>
      </c>
      <c r="K148" s="6"/>
      <c r="L148" s="6"/>
      <c r="M148" s="116">
        <v>2000</v>
      </c>
      <c r="N148" s="7">
        <f t="shared" si="14"/>
        <v>2708816</v>
      </c>
      <c r="O148" s="86"/>
      <c r="P148" s="7"/>
      <c r="Q148" s="7"/>
      <c r="R148" s="7"/>
      <c r="S148" s="7"/>
      <c r="T148" s="7"/>
      <c r="U148" s="7"/>
      <c r="V148" s="7"/>
      <c r="W148" s="7"/>
      <c r="X148" s="64"/>
      <c r="Y148" s="64"/>
      <c r="Z148" s="64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</row>
    <row r="149" spans="1:54" s="30" customFormat="1" ht="12.75" customHeight="1" x14ac:dyDescent="0.25">
      <c r="A149" s="2"/>
      <c r="B149" s="119">
        <v>1</v>
      </c>
      <c r="C149" s="4"/>
      <c r="D149" s="26"/>
      <c r="E149" s="26"/>
      <c r="F149" s="76">
        <v>45297</v>
      </c>
      <c r="G149" s="114">
        <v>144</v>
      </c>
      <c r="H149" s="5" t="s">
        <v>16</v>
      </c>
      <c r="I149" s="5" t="s">
        <v>418</v>
      </c>
      <c r="J149" s="66" t="s">
        <v>189</v>
      </c>
      <c r="K149" s="6"/>
      <c r="L149" s="6"/>
      <c r="M149" s="116">
        <v>35800</v>
      </c>
      <c r="N149" s="7">
        <f t="shared" si="14"/>
        <v>2744616</v>
      </c>
      <c r="O149" s="86"/>
      <c r="P149" s="7"/>
      <c r="Q149" s="7"/>
      <c r="R149" s="7"/>
      <c r="S149" s="7"/>
      <c r="T149" s="7"/>
      <c r="U149" s="7"/>
      <c r="V149" s="7"/>
      <c r="W149" s="7"/>
      <c r="X149" s="64"/>
      <c r="Y149" s="64"/>
      <c r="Z149" s="64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</row>
    <row r="150" spans="1:54" s="30" customFormat="1" ht="12.75" customHeight="1" x14ac:dyDescent="0.3">
      <c r="A150" s="2"/>
      <c r="B150" s="119">
        <v>1</v>
      </c>
      <c r="C150" s="4"/>
      <c r="D150" s="26"/>
      <c r="E150" s="26"/>
      <c r="F150" s="76">
        <v>45300</v>
      </c>
      <c r="G150" s="114">
        <v>145</v>
      </c>
      <c r="H150" s="5" t="s">
        <v>64</v>
      </c>
      <c r="I150" s="5" t="s">
        <v>418</v>
      </c>
      <c r="J150" s="66" t="s">
        <v>190</v>
      </c>
      <c r="K150" s="6"/>
      <c r="L150" s="6"/>
      <c r="M150" s="116">
        <v>100000</v>
      </c>
      <c r="N150" s="7">
        <f t="shared" si="14"/>
        <v>2844616</v>
      </c>
      <c r="O150" s="86"/>
      <c r="P150" s="7"/>
      <c r="Q150" s="7"/>
      <c r="R150" s="7"/>
      <c r="S150" s="7"/>
      <c r="T150" s="7"/>
      <c r="U150" s="7"/>
      <c r="V150" s="7"/>
      <c r="W150" s="7"/>
      <c r="X150" s="20"/>
      <c r="Y150" s="20"/>
      <c r="Z150" s="20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</row>
    <row r="151" spans="1:54" s="30" customFormat="1" ht="12.75" customHeight="1" x14ac:dyDescent="0.3">
      <c r="A151" s="2"/>
      <c r="B151" s="119">
        <v>1</v>
      </c>
      <c r="C151" s="4"/>
      <c r="D151" s="26"/>
      <c r="E151" s="26"/>
      <c r="F151" s="76">
        <v>45300</v>
      </c>
      <c r="G151" s="114">
        <v>146</v>
      </c>
      <c r="H151" s="5" t="s">
        <v>70</v>
      </c>
      <c r="I151" s="5" t="s">
        <v>418</v>
      </c>
      <c r="J151" s="66" t="s">
        <v>191</v>
      </c>
      <c r="K151" s="6"/>
      <c r="L151" s="6"/>
      <c r="M151" s="116">
        <v>12000</v>
      </c>
      <c r="N151" s="7">
        <f t="shared" si="14"/>
        <v>2856616</v>
      </c>
      <c r="O151" s="86"/>
      <c r="P151" s="20"/>
      <c r="Q151" s="20"/>
      <c r="R151" s="20"/>
      <c r="S151" s="20">
        <v>12000</v>
      </c>
      <c r="T151" s="20"/>
      <c r="U151" s="20"/>
      <c r="V151" s="20"/>
      <c r="W151" s="20"/>
      <c r="X151" s="20"/>
      <c r="Y151" s="20"/>
      <c r="Z151" s="20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</row>
    <row r="152" spans="1:54" s="30" customFormat="1" ht="12.75" customHeight="1" x14ac:dyDescent="0.3">
      <c r="A152" s="2"/>
      <c r="B152" s="119">
        <v>1</v>
      </c>
      <c r="C152" s="4"/>
      <c r="D152" s="26"/>
      <c r="E152" s="26"/>
      <c r="F152" s="76">
        <v>45302</v>
      </c>
      <c r="G152" s="114">
        <v>147</v>
      </c>
      <c r="H152" s="5" t="s">
        <v>16</v>
      </c>
      <c r="I152" s="5" t="s">
        <v>418</v>
      </c>
      <c r="J152" s="66" t="s">
        <v>192</v>
      </c>
      <c r="K152" s="6"/>
      <c r="L152" s="6"/>
      <c r="M152" s="116">
        <v>7000</v>
      </c>
      <c r="N152" s="7">
        <f t="shared" si="14"/>
        <v>2863616</v>
      </c>
      <c r="O152" s="86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</row>
    <row r="153" spans="1:54" s="30" customFormat="1" ht="12.75" customHeight="1" x14ac:dyDescent="0.3">
      <c r="A153" s="2"/>
      <c r="B153" s="119">
        <v>1</v>
      </c>
      <c r="C153" s="4"/>
      <c r="D153" s="26"/>
      <c r="E153" s="26"/>
      <c r="F153" s="76">
        <v>45302</v>
      </c>
      <c r="G153" s="114">
        <v>148</v>
      </c>
      <c r="H153" s="5" t="s">
        <v>166</v>
      </c>
      <c r="I153" s="5" t="s">
        <v>418</v>
      </c>
      <c r="J153" s="66" t="s">
        <v>193</v>
      </c>
      <c r="K153" s="6"/>
      <c r="L153" s="6"/>
      <c r="M153" s="116">
        <v>5500</v>
      </c>
      <c r="N153" s="7">
        <f t="shared" si="14"/>
        <v>2869116</v>
      </c>
      <c r="O153" s="86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</row>
    <row r="154" spans="1:54" s="30" customFormat="1" ht="12.75" customHeight="1" x14ac:dyDescent="0.3">
      <c r="A154" s="2"/>
      <c r="B154" s="119">
        <v>1</v>
      </c>
      <c r="C154" s="4"/>
      <c r="D154" s="26"/>
      <c r="E154" s="26"/>
      <c r="F154" s="76">
        <v>45302</v>
      </c>
      <c r="G154" s="114">
        <v>149</v>
      </c>
      <c r="H154" s="5" t="s">
        <v>194</v>
      </c>
      <c r="I154" s="5" t="s">
        <v>418</v>
      </c>
      <c r="J154" s="66" t="s">
        <v>195</v>
      </c>
      <c r="K154" s="6"/>
      <c r="L154" s="6"/>
      <c r="M154" s="116">
        <v>5500</v>
      </c>
      <c r="N154" s="7">
        <f t="shared" si="14"/>
        <v>2874616</v>
      </c>
      <c r="O154" s="86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</row>
    <row r="155" spans="1:54" s="30" customFormat="1" ht="12.75" customHeight="1" x14ac:dyDescent="0.3">
      <c r="A155" s="2"/>
      <c r="B155" s="119">
        <v>1</v>
      </c>
      <c r="C155" s="4"/>
      <c r="D155" s="26"/>
      <c r="E155" s="26"/>
      <c r="F155" s="76">
        <v>45303</v>
      </c>
      <c r="G155" s="114">
        <v>150</v>
      </c>
      <c r="H155" s="5" t="s">
        <v>357</v>
      </c>
      <c r="I155" s="5" t="s">
        <v>357</v>
      </c>
      <c r="J155" s="66" t="s">
        <v>196</v>
      </c>
      <c r="K155" s="6"/>
      <c r="L155" s="6"/>
      <c r="M155" s="116">
        <v>10050</v>
      </c>
      <c r="N155" s="7">
        <f t="shared" si="14"/>
        <v>2884666</v>
      </c>
      <c r="O155" s="86"/>
      <c r="P155" s="20">
        <v>10050</v>
      </c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1"/>
      <c r="AB155" s="14"/>
      <c r="AC155" s="14"/>
      <c r="AD155" s="14"/>
      <c r="AE155" s="14"/>
      <c r="AF155" s="14"/>
      <c r="AG155" s="14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</row>
    <row r="156" spans="1:54" s="30" customFormat="1" ht="12.75" customHeight="1" x14ac:dyDescent="0.3">
      <c r="A156" s="2"/>
      <c r="B156" s="119">
        <v>1</v>
      </c>
      <c r="C156" s="4"/>
      <c r="D156" s="26"/>
      <c r="E156" s="26"/>
      <c r="F156" s="76">
        <v>45304</v>
      </c>
      <c r="G156" s="114">
        <v>151</v>
      </c>
      <c r="H156" s="5" t="s">
        <v>197</v>
      </c>
      <c r="I156" s="5" t="s">
        <v>418</v>
      </c>
      <c r="J156" s="66" t="s">
        <v>198</v>
      </c>
      <c r="K156" s="6"/>
      <c r="L156" s="6"/>
      <c r="M156" s="116">
        <v>50160</v>
      </c>
      <c r="N156" s="7">
        <f t="shared" si="14"/>
        <v>2934826</v>
      </c>
      <c r="O156" s="86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2"/>
      <c r="AB156" s="16"/>
      <c r="AC156" s="16"/>
      <c r="AD156" s="16"/>
      <c r="AE156" s="16"/>
      <c r="AF156" s="16"/>
      <c r="AG156" s="16"/>
      <c r="AH156" s="14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</row>
    <row r="157" spans="1:54" s="30" customFormat="1" ht="12.75" customHeight="1" x14ac:dyDescent="0.3">
      <c r="A157" s="2"/>
      <c r="B157" s="119">
        <v>1</v>
      </c>
      <c r="C157" s="4"/>
      <c r="D157" s="26"/>
      <c r="E157" s="26"/>
      <c r="F157" s="76">
        <v>45304</v>
      </c>
      <c r="G157" s="114">
        <v>152</v>
      </c>
      <c r="H157" s="5" t="s">
        <v>16</v>
      </c>
      <c r="I157" s="5" t="s">
        <v>418</v>
      </c>
      <c r="J157" s="66" t="s">
        <v>199</v>
      </c>
      <c r="K157" s="6"/>
      <c r="L157" s="6"/>
      <c r="M157" s="116">
        <v>24950</v>
      </c>
      <c r="N157" s="7">
        <f t="shared" si="14"/>
        <v>2959776</v>
      </c>
      <c r="O157" s="86"/>
      <c r="P157" s="19"/>
      <c r="Q157" s="19"/>
      <c r="R157" s="19"/>
      <c r="S157" s="19"/>
      <c r="T157" s="19"/>
      <c r="U157" s="19"/>
      <c r="V157" s="19"/>
      <c r="W157" s="19"/>
      <c r="X157" s="20"/>
      <c r="Y157" s="20"/>
      <c r="Z157" s="20"/>
      <c r="AA157" s="22"/>
      <c r="AB157" s="16"/>
      <c r="AC157" s="16"/>
      <c r="AD157" s="16"/>
      <c r="AE157" s="16"/>
      <c r="AF157" s="16"/>
      <c r="AG157" s="16"/>
      <c r="AH157" s="16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</row>
    <row r="158" spans="1:54" s="30" customFormat="1" ht="12.75" customHeight="1" x14ac:dyDescent="0.3">
      <c r="A158" s="2"/>
      <c r="B158" s="119">
        <v>1</v>
      </c>
      <c r="C158" s="4"/>
      <c r="D158" s="26"/>
      <c r="E158" s="26"/>
      <c r="F158" s="76">
        <v>45304</v>
      </c>
      <c r="G158" s="114">
        <v>153</v>
      </c>
      <c r="H158" s="5" t="s">
        <v>200</v>
      </c>
      <c r="I158" s="5" t="s">
        <v>418</v>
      </c>
      <c r="J158" s="66" t="s">
        <v>201</v>
      </c>
      <c r="K158" s="6"/>
      <c r="L158" s="6"/>
      <c r="M158" s="116">
        <v>14000</v>
      </c>
      <c r="N158" s="7">
        <f t="shared" si="14"/>
        <v>2973776</v>
      </c>
      <c r="O158" s="86"/>
      <c r="P158" s="19"/>
      <c r="Q158" s="19"/>
      <c r="R158" s="19"/>
      <c r="S158" s="19"/>
      <c r="T158" s="19"/>
      <c r="U158" s="19"/>
      <c r="V158" s="19"/>
      <c r="W158" s="19"/>
      <c r="X158" s="20"/>
      <c r="Y158" s="20"/>
      <c r="Z158" s="20"/>
      <c r="AA158" s="22"/>
      <c r="AB158" s="16"/>
      <c r="AC158" s="16"/>
      <c r="AD158" s="16"/>
      <c r="AE158" s="16"/>
      <c r="AF158" s="16"/>
      <c r="AG158" s="16"/>
      <c r="AH158" s="16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</row>
    <row r="159" spans="1:54" s="30" customFormat="1" ht="12.75" customHeight="1" x14ac:dyDescent="0.3">
      <c r="A159" s="2"/>
      <c r="B159" s="119">
        <v>1</v>
      </c>
      <c r="C159" s="4"/>
      <c r="D159" s="26"/>
      <c r="E159" s="26"/>
      <c r="F159" s="76">
        <v>45307</v>
      </c>
      <c r="G159" s="114">
        <v>154</v>
      </c>
      <c r="H159" s="5" t="s">
        <v>357</v>
      </c>
      <c r="I159" s="5" t="s">
        <v>357</v>
      </c>
      <c r="J159" s="66" t="s">
        <v>202</v>
      </c>
      <c r="K159" s="6"/>
      <c r="L159" s="6"/>
      <c r="M159" s="116">
        <v>2250</v>
      </c>
      <c r="N159" s="7">
        <f t="shared" si="14"/>
        <v>2976026</v>
      </c>
      <c r="O159" s="86"/>
      <c r="P159" s="20">
        <v>2250</v>
      </c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2"/>
      <c r="AB159" s="16"/>
      <c r="AC159" s="16"/>
      <c r="AD159" s="16"/>
      <c r="AE159" s="16"/>
      <c r="AF159" s="16"/>
      <c r="AG159" s="16"/>
      <c r="AH159" s="16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</row>
    <row r="160" spans="1:54" s="30" customFormat="1" ht="12.75" customHeight="1" x14ac:dyDescent="0.3">
      <c r="A160" s="2"/>
      <c r="B160" s="119">
        <v>1</v>
      </c>
      <c r="C160" s="4"/>
      <c r="D160" s="26"/>
      <c r="E160" s="26"/>
      <c r="F160" s="76">
        <v>45307</v>
      </c>
      <c r="G160" s="114">
        <v>155</v>
      </c>
      <c r="H160" s="5" t="s">
        <v>166</v>
      </c>
      <c r="I160" s="5" t="s">
        <v>418</v>
      </c>
      <c r="J160" s="66" t="s">
        <v>203</v>
      </c>
      <c r="K160" s="6"/>
      <c r="L160" s="6"/>
      <c r="M160" s="116">
        <v>8150</v>
      </c>
      <c r="N160" s="7">
        <f t="shared" si="14"/>
        <v>2984176</v>
      </c>
      <c r="O160" s="86"/>
      <c r="P160" s="19"/>
      <c r="Q160" s="19"/>
      <c r="R160" s="19"/>
      <c r="S160" s="19"/>
      <c r="T160" s="19"/>
      <c r="U160" s="19"/>
      <c r="V160" s="19"/>
      <c r="W160" s="19"/>
      <c r="X160" s="20"/>
      <c r="Y160" s="20"/>
      <c r="Z160" s="20"/>
      <c r="AA160" s="22"/>
      <c r="AB160" s="16"/>
      <c r="AC160" s="16"/>
      <c r="AD160" s="16"/>
      <c r="AE160" s="16"/>
      <c r="AF160" s="16"/>
      <c r="AG160" s="16"/>
      <c r="AH160" s="16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</row>
    <row r="161" spans="1:54" s="30" customFormat="1" ht="12.75" customHeight="1" x14ac:dyDescent="0.3">
      <c r="A161" s="2"/>
      <c r="B161" s="119">
        <v>1</v>
      </c>
      <c r="C161" s="4"/>
      <c r="D161" s="26"/>
      <c r="E161" s="26"/>
      <c r="F161" s="76">
        <v>45306</v>
      </c>
      <c r="G161" s="114">
        <v>156</v>
      </c>
      <c r="H161" s="5" t="s">
        <v>8</v>
      </c>
      <c r="I161" s="5" t="s">
        <v>418</v>
      </c>
      <c r="J161" s="66" t="s">
        <v>204</v>
      </c>
      <c r="K161" s="6"/>
      <c r="L161" s="6"/>
      <c r="M161" s="116">
        <v>2300</v>
      </c>
      <c r="N161" s="7">
        <f t="shared" si="14"/>
        <v>2986476</v>
      </c>
      <c r="O161" s="86"/>
      <c r="P161" s="19"/>
      <c r="Q161" s="19"/>
      <c r="R161" s="19"/>
      <c r="S161" s="19"/>
      <c r="T161" s="19"/>
      <c r="U161" s="19"/>
      <c r="V161" s="19"/>
      <c r="W161" s="19"/>
      <c r="X161" s="20"/>
      <c r="Y161" s="20"/>
      <c r="Z161" s="20"/>
      <c r="AA161" s="23"/>
      <c r="AB161" s="36"/>
      <c r="AC161" s="36"/>
      <c r="AD161" s="36"/>
      <c r="AE161" s="36"/>
      <c r="AF161" s="36"/>
      <c r="AG161" s="36"/>
      <c r="AH161" s="16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</row>
    <row r="162" spans="1:54" s="30" customFormat="1" ht="12.75" customHeight="1" x14ac:dyDescent="0.3">
      <c r="A162" s="2"/>
      <c r="B162" s="119">
        <v>1</v>
      </c>
      <c r="C162" s="4"/>
      <c r="D162" s="26"/>
      <c r="E162" s="26"/>
      <c r="F162" s="76">
        <v>45307</v>
      </c>
      <c r="G162" s="114">
        <v>157</v>
      </c>
      <c r="H162" s="5" t="s">
        <v>16</v>
      </c>
      <c r="I162" s="5" t="s">
        <v>418</v>
      </c>
      <c r="J162" s="66" t="s">
        <v>205</v>
      </c>
      <c r="K162" s="6"/>
      <c r="L162" s="6"/>
      <c r="M162" s="116">
        <v>10000</v>
      </c>
      <c r="N162" s="7">
        <f t="shared" si="14"/>
        <v>2996476</v>
      </c>
      <c r="O162" s="86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3"/>
      <c r="AB162" s="36"/>
      <c r="AC162" s="36"/>
      <c r="AD162" s="36"/>
      <c r="AE162" s="36"/>
      <c r="AF162" s="36"/>
      <c r="AG162" s="36"/>
      <c r="AH162" s="36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</row>
    <row r="163" spans="1:54" s="30" customFormat="1" ht="12.75" customHeight="1" x14ac:dyDescent="0.3">
      <c r="A163" s="2"/>
      <c r="B163" s="119">
        <v>1</v>
      </c>
      <c r="C163" s="4"/>
      <c r="D163" s="26"/>
      <c r="E163" s="26"/>
      <c r="F163" s="76">
        <v>45308</v>
      </c>
      <c r="G163" s="114">
        <v>158</v>
      </c>
      <c r="H163" s="5" t="s">
        <v>206</v>
      </c>
      <c r="I163" s="5" t="s">
        <v>418</v>
      </c>
      <c r="J163" s="66" t="s">
        <v>207</v>
      </c>
      <c r="K163" s="6"/>
      <c r="L163" s="6"/>
      <c r="M163" s="116">
        <v>15400</v>
      </c>
      <c r="N163" s="7">
        <f t="shared" si="14"/>
        <v>3011876</v>
      </c>
      <c r="O163" s="86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4"/>
      <c r="AB163" s="14"/>
      <c r="AC163" s="14"/>
      <c r="AD163" s="14"/>
      <c r="AE163" s="14"/>
      <c r="AF163" s="14"/>
      <c r="AG163" s="14"/>
      <c r="AH163" s="36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</row>
    <row r="164" spans="1:54" s="30" customFormat="1" ht="12.75" customHeight="1" x14ac:dyDescent="0.3">
      <c r="A164" s="2"/>
      <c r="B164" s="119">
        <v>1</v>
      </c>
      <c r="C164" s="4"/>
      <c r="D164" s="26"/>
      <c r="E164" s="26"/>
      <c r="F164" s="76">
        <v>45309</v>
      </c>
      <c r="G164" s="114">
        <v>159</v>
      </c>
      <c r="H164" s="5" t="s">
        <v>70</v>
      </c>
      <c r="I164" s="5" t="s">
        <v>418</v>
      </c>
      <c r="J164" s="66" t="s">
        <v>208</v>
      </c>
      <c r="K164" s="6"/>
      <c r="L164" s="6"/>
      <c r="M164" s="116">
        <v>12000</v>
      </c>
      <c r="N164" s="7">
        <f t="shared" si="14"/>
        <v>3023876</v>
      </c>
      <c r="O164" s="86"/>
      <c r="P164" s="20"/>
      <c r="Q164" s="20"/>
      <c r="R164" s="20"/>
      <c r="S164" s="20">
        <v>12000</v>
      </c>
      <c r="T164" s="20"/>
      <c r="U164" s="20"/>
      <c r="V164" s="20"/>
      <c r="W164" s="20"/>
      <c r="X164" s="20"/>
      <c r="Y164" s="20"/>
      <c r="Z164" s="20"/>
      <c r="AA164" s="23"/>
      <c r="AB164" s="36"/>
      <c r="AC164" s="36"/>
      <c r="AD164" s="36"/>
      <c r="AE164" s="36"/>
      <c r="AF164" s="36"/>
      <c r="AG164" s="36"/>
      <c r="AH164" s="14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</row>
    <row r="165" spans="1:54" s="30" customFormat="1" ht="12.75" customHeight="1" x14ac:dyDescent="0.3">
      <c r="A165" s="2"/>
      <c r="B165" s="119">
        <v>1</v>
      </c>
      <c r="C165" s="4"/>
      <c r="D165" s="26"/>
      <c r="E165" s="26"/>
      <c r="F165" s="76">
        <v>45308</v>
      </c>
      <c r="G165" s="114">
        <v>160</v>
      </c>
      <c r="H165" s="5" t="s">
        <v>200</v>
      </c>
      <c r="I165" s="5" t="s">
        <v>418</v>
      </c>
      <c r="J165" s="66" t="s">
        <v>209</v>
      </c>
      <c r="K165" s="6"/>
      <c r="L165" s="6"/>
      <c r="M165" s="116">
        <v>15000</v>
      </c>
      <c r="N165" s="7">
        <f t="shared" si="14"/>
        <v>3038876</v>
      </c>
      <c r="O165" s="86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3"/>
      <c r="AB165" s="36"/>
      <c r="AC165" s="36"/>
      <c r="AD165" s="36"/>
      <c r="AE165" s="36"/>
      <c r="AF165" s="36"/>
      <c r="AG165" s="36"/>
      <c r="AH165" s="36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</row>
    <row r="166" spans="1:54" s="30" customFormat="1" ht="12.75" customHeight="1" x14ac:dyDescent="0.3">
      <c r="A166" s="2"/>
      <c r="B166" s="119">
        <v>1</v>
      </c>
      <c r="C166" s="4"/>
      <c r="D166" s="26"/>
      <c r="E166" s="26"/>
      <c r="F166" s="76">
        <v>45310</v>
      </c>
      <c r="G166" s="114">
        <v>161</v>
      </c>
      <c r="H166" s="5" t="s">
        <v>14</v>
      </c>
      <c r="I166" s="5" t="s">
        <v>418</v>
      </c>
      <c r="J166" s="66" t="s">
        <v>210</v>
      </c>
      <c r="K166" s="6"/>
      <c r="L166" s="6"/>
      <c r="M166" s="116">
        <v>58252</v>
      </c>
      <c r="N166" s="7">
        <f t="shared" si="14"/>
        <v>3097128</v>
      </c>
      <c r="O166" s="86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1"/>
      <c r="AB166" s="14"/>
      <c r="AC166" s="14"/>
      <c r="AD166" s="14"/>
      <c r="AE166" s="14"/>
      <c r="AF166" s="14"/>
      <c r="AG166" s="14"/>
      <c r="AH166" s="36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</row>
    <row r="167" spans="1:54" s="30" customFormat="1" ht="12.75" customHeight="1" x14ac:dyDescent="0.3">
      <c r="A167" s="2"/>
      <c r="B167" s="119">
        <v>1</v>
      </c>
      <c r="C167" s="4"/>
      <c r="D167" s="26"/>
      <c r="E167" s="26"/>
      <c r="F167" s="76">
        <v>45310</v>
      </c>
      <c r="G167" s="114">
        <v>162</v>
      </c>
      <c r="H167" s="5" t="s">
        <v>8</v>
      </c>
      <c r="I167" s="5" t="s">
        <v>418</v>
      </c>
      <c r="J167" s="66" t="s">
        <v>211</v>
      </c>
      <c r="K167" s="6"/>
      <c r="L167" s="6"/>
      <c r="M167" s="116">
        <v>18400</v>
      </c>
      <c r="N167" s="7">
        <f t="shared" si="14"/>
        <v>3115528</v>
      </c>
      <c r="O167" s="86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1"/>
      <c r="AB167" s="14"/>
      <c r="AC167" s="14"/>
      <c r="AD167" s="14"/>
      <c r="AE167" s="14"/>
      <c r="AF167" s="14"/>
      <c r="AG167" s="14"/>
      <c r="AH167" s="14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</row>
    <row r="168" spans="1:54" s="30" customFormat="1" ht="12.75" customHeight="1" x14ac:dyDescent="0.3">
      <c r="A168" s="2"/>
      <c r="B168" s="119">
        <v>1</v>
      </c>
      <c r="C168" s="4"/>
      <c r="D168" s="26"/>
      <c r="E168" s="26"/>
      <c r="F168" s="76">
        <v>45310</v>
      </c>
      <c r="G168" s="114">
        <v>163</v>
      </c>
      <c r="H168" s="5" t="s">
        <v>58</v>
      </c>
      <c r="I168" s="5" t="s">
        <v>418</v>
      </c>
      <c r="J168" s="66" t="s">
        <v>212</v>
      </c>
      <c r="K168" s="6"/>
      <c r="L168" s="6"/>
      <c r="M168" s="116">
        <v>23500</v>
      </c>
      <c r="N168" s="7">
        <f t="shared" si="14"/>
        <v>3139028</v>
      </c>
      <c r="O168" s="86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1"/>
      <c r="AB168" s="14"/>
      <c r="AC168" s="14"/>
      <c r="AD168" s="14"/>
      <c r="AE168" s="14"/>
      <c r="AF168" s="14"/>
      <c r="AG168" s="14"/>
      <c r="AH168" s="14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</row>
    <row r="169" spans="1:54" s="30" customFormat="1" ht="12.75" customHeight="1" x14ac:dyDescent="0.3">
      <c r="A169" s="2"/>
      <c r="B169" s="119">
        <v>1</v>
      </c>
      <c r="C169" s="4"/>
      <c r="D169" s="26"/>
      <c r="E169" s="26"/>
      <c r="F169" s="76">
        <v>45311</v>
      </c>
      <c r="G169" s="114">
        <v>164</v>
      </c>
      <c r="H169" s="5" t="s">
        <v>16</v>
      </c>
      <c r="I169" s="5" t="s">
        <v>418</v>
      </c>
      <c r="J169" s="66" t="s">
        <v>213</v>
      </c>
      <c r="K169" s="6"/>
      <c r="L169" s="6"/>
      <c r="M169" s="116">
        <v>46368</v>
      </c>
      <c r="N169" s="7">
        <f t="shared" si="14"/>
        <v>3185396</v>
      </c>
      <c r="O169" s="86"/>
      <c r="P169" s="19"/>
      <c r="Q169" s="19"/>
      <c r="R169" s="19"/>
      <c r="S169" s="19"/>
      <c r="T169" s="19"/>
      <c r="U169" s="19"/>
      <c r="V169" s="19"/>
      <c r="W169" s="19"/>
      <c r="X169" s="20"/>
      <c r="Y169" s="20"/>
      <c r="Z169" s="20"/>
      <c r="AA169" s="21"/>
      <c r="AB169" s="14"/>
      <c r="AC169" s="14"/>
      <c r="AD169" s="14"/>
      <c r="AE169" s="14"/>
      <c r="AF169" s="14"/>
      <c r="AG169" s="14"/>
      <c r="AH169" s="14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</row>
    <row r="170" spans="1:54" s="30" customFormat="1" ht="12.75" customHeight="1" x14ac:dyDescent="0.3">
      <c r="A170" s="2"/>
      <c r="B170" s="119">
        <v>1</v>
      </c>
      <c r="C170" s="4"/>
      <c r="D170" s="26"/>
      <c r="E170" s="26"/>
      <c r="F170" s="76">
        <v>45313</v>
      </c>
      <c r="G170" s="114">
        <v>165</v>
      </c>
      <c r="H170" s="5" t="s">
        <v>16</v>
      </c>
      <c r="I170" s="5" t="s">
        <v>418</v>
      </c>
      <c r="J170" s="66" t="s">
        <v>214</v>
      </c>
      <c r="K170" s="6"/>
      <c r="L170" s="6"/>
      <c r="M170" s="116">
        <v>500</v>
      </c>
      <c r="N170" s="7">
        <f t="shared" si="14"/>
        <v>3185896</v>
      </c>
      <c r="O170" s="86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1"/>
      <c r="AB170" s="14"/>
      <c r="AC170" s="14"/>
      <c r="AD170" s="14"/>
      <c r="AE170" s="14"/>
      <c r="AF170" s="14"/>
      <c r="AG170" s="14"/>
      <c r="AH170" s="14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</row>
    <row r="171" spans="1:54" s="30" customFormat="1" ht="12.75" customHeight="1" x14ac:dyDescent="0.3">
      <c r="A171" s="2"/>
      <c r="B171" s="119">
        <v>1</v>
      </c>
      <c r="C171" s="4"/>
      <c r="D171" s="26"/>
      <c r="E171" s="26"/>
      <c r="F171" s="76">
        <v>45313</v>
      </c>
      <c r="G171" s="114">
        <v>166</v>
      </c>
      <c r="H171" s="5" t="s">
        <v>215</v>
      </c>
      <c r="I171" s="5" t="s">
        <v>418</v>
      </c>
      <c r="J171" s="66" t="s">
        <v>216</v>
      </c>
      <c r="K171" s="6"/>
      <c r="L171" s="6"/>
      <c r="M171" s="116">
        <v>36480</v>
      </c>
      <c r="N171" s="7">
        <f t="shared" si="14"/>
        <v>3222376</v>
      </c>
      <c r="O171" s="86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1"/>
      <c r="AB171" s="14"/>
      <c r="AC171" s="14"/>
      <c r="AD171" s="14"/>
      <c r="AE171" s="14"/>
      <c r="AF171" s="14"/>
      <c r="AG171" s="14"/>
      <c r="AH171" s="14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</row>
    <row r="172" spans="1:54" s="30" customFormat="1" ht="12.75" customHeight="1" x14ac:dyDescent="0.3">
      <c r="A172" s="2"/>
      <c r="B172" s="119">
        <v>1</v>
      </c>
      <c r="C172" s="4"/>
      <c r="D172" s="26"/>
      <c r="E172" s="26"/>
      <c r="F172" s="76">
        <v>45313</v>
      </c>
      <c r="G172" s="114">
        <v>167</v>
      </c>
      <c r="H172" s="5" t="s">
        <v>217</v>
      </c>
      <c r="I172" s="5" t="s">
        <v>418</v>
      </c>
      <c r="J172" s="66" t="s">
        <v>218</v>
      </c>
      <c r="K172" s="6"/>
      <c r="L172" s="6"/>
      <c r="M172" s="116">
        <v>1190</v>
      </c>
      <c r="N172" s="7">
        <f t="shared" si="14"/>
        <v>3223566</v>
      </c>
      <c r="O172" s="86"/>
      <c r="P172" s="19"/>
      <c r="Q172" s="19"/>
      <c r="R172" s="19"/>
      <c r="S172" s="19"/>
      <c r="T172" s="19"/>
      <c r="U172" s="19"/>
      <c r="V172" s="19"/>
      <c r="W172" s="19"/>
      <c r="X172" s="20"/>
      <c r="Y172" s="20"/>
      <c r="Z172" s="20"/>
      <c r="AA172" s="21"/>
      <c r="AB172" s="14"/>
      <c r="AC172" s="14"/>
      <c r="AD172" s="14"/>
      <c r="AE172" s="14"/>
      <c r="AF172" s="14"/>
      <c r="AG172" s="14"/>
      <c r="AH172" s="14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</row>
    <row r="173" spans="1:54" s="30" customFormat="1" ht="12.75" customHeight="1" x14ac:dyDescent="0.3">
      <c r="A173" s="2"/>
      <c r="B173" s="119">
        <v>1</v>
      </c>
      <c r="C173" s="4"/>
      <c r="D173" s="26"/>
      <c r="E173" s="26"/>
      <c r="F173" s="76">
        <v>45315</v>
      </c>
      <c r="G173" s="114">
        <v>168</v>
      </c>
      <c r="H173" s="5" t="s">
        <v>219</v>
      </c>
      <c r="I173" s="5" t="s">
        <v>418</v>
      </c>
      <c r="J173" s="66" t="s">
        <v>220</v>
      </c>
      <c r="K173" s="6"/>
      <c r="L173" s="6"/>
      <c r="M173" s="116">
        <v>800</v>
      </c>
      <c r="N173" s="7">
        <f t="shared" si="14"/>
        <v>3224366</v>
      </c>
      <c r="O173" s="86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3"/>
      <c r="AB173" s="36"/>
      <c r="AC173" s="36"/>
      <c r="AD173" s="36"/>
      <c r="AE173" s="36"/>
      <c r="AF173" s="36"/>
      <c r="AG173" s="36"/>
      <c r="AH173" s="14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</row>
    <row r="174" spans="1:54" s="30" customFormat="1" ht="12.75" customHeight="1" x14ac:dyDescent="0.3">
      <c r="A174" s="2"/>
      <c r="B174" s="119">
        <v>1</v>
      </c>
      <c r="C174" s="4"/>
      <c r="D174" s="26"/>
      <c r="E174" s="26"/>
      <c r="F174" s="76">
        <v>45314</v>
      </c>
      <c r="G174" s="114">
        <v>169</v>
      </c>
      <c r="H174" s="5" t="s">
        <v>357</v>
      </c>
      <c r="I174" s="5" t="s">
        <v>357</v>
      </c>
      <c r="J174" s="66" t="s">
        <v>221</v>
      </c>
      <c r="K174" s="6"/>
      <c r="L174" s="6"/>
      <c r="M174" s="116">
        <v>4000</v>
      </c>
      <c r="N174" s="7">
        <f t="shared" si="14"/>
        <v>3228366</v>
      </c>
      <c r="O174" s="86"/>
      <c r="P174" s="20">
        <v>4000</v>
      </c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1"/>
      <c r="AB174" s="14"/>
      <c r="AC174" s="14"/>
      <c r="AD174" s="14"/>
      <c r="AE174" s="14"/>
      <c r="AF174" s="14"/>
      <c r="AG174" s="14"/>
      <c r="AH174" s="36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</row>
    <row r="175" spans="1:54" s="30" customFormat="1" ht="12.75" customHeight="1" x14ac:dyDescent="0.3">
      <c r="A175" s="2"/>
      <c r="B175" s="119">
        <v>1</v>
      </c>
      <c r="C175" s="4"/>
      <c r="D175" s="26"/>
      <c r="E175" s="26"/>
      <c r="F175" s="76">
        <v>45313</v>
      </c>
      <c r="G175" s="114">
        <v>170</v>
      </c>
      <c r="H175" s="5" t="s">
        <v>70</v>
      </c>
      <c r="I175" s="5" t="s">
        <v>418</v>
      </c>
      <c r="J175" s="66" t="s">
        <v>222</v>
      </c>
      <c r="K175" s="6"/>
      <c r="L175" s="6"/>
      <c r="M175" s="116">
        <v>10000</v>
      </c>
      <c r="N175" s="7">
        <f t="shared" si="14"/>
        <v>3238366</v>
      </c>
      <c r="O175" s="86"/>
      <c r="P175" s="20"/>
      <c r="Q175" s="20"/>
      <c r="R175" s="20"/>
      <c r="S175" s="20">
        <v>10000</v>
      </c>
      <c r="T175" s="20"/>
      <c r="U175" s="20"/>
      <c r="V175" s="20"/>
      <c r="W175" s="20"/>
      <c r="X175" s="20"/>
      <c r="Y175" s="20"/>
      <c r="Z175" s="20"/>
      <c r="AA175" s="21"/>
      <c r="AB175" s="14"/>
      <c r="AC175" s="14"/>
      <c r="AD175" s="14"/>
      <c r="AE175" s="14"/>
      <c r="AF175" s="14"/>
      <c r="AG175" s="14"/>
      <c r="AH175" s="14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</row>
    <row r="176" spans="1:54" s="30" customFormat="1" ht="12.75" customHeight="1" x14ac:dyDescent="0.3">
      <c r="A176" s="2"/>
      <c r="B176" s="119">
        <v>1</v>
      </c>
      <c r="C176" s="4"/>
      <c r="D176" s="26"/>
      <c r="E176" s="26"/>
      <c r="F176" s="76">
        <v>45315</v>
      </c>
      <c r="G176" s="114">
        <v>171</v>
      </c>
      <c r="H176" s="5" t="s">
        <v>16</v>
      </c>
      <c r="I176" s="5" t="s">
        <v>418</v>
      </c>
      <c r="J176" s="66" t="s">
        <v>223</v>
      </c>
      <c r="K176" s="6"/>
      <c r="L176" s="6"/>
      <c r="M176" s="116">
        <v>5000</v>
      </c>
      <c r="N176" s="7">
        <f t="shared" si="14"/>
        <v>3243366</v>
      </c>
      <c r="O176" s="86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5"/>
      <c r="AB176" s="37"/>
      <c r="AC176" s="37"/>
      <c r="AD176" s="37"/>
      <c r="AE176" s="37"/>
      <c r="AF176" s="37"/>
      <c r="AG176" s="37"/>
      <c r="AH176" s="14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</row>
    <row r="177" spans="1:54" s="30" customFormat="1" ht="12.75" customHeight="1" x14ac:dyDescent="0.3">
      <c r="A177" s="2"/>
      <c r="B177" s="119">
        <v>1</v>
      </c>
      <c r="C177" s="4"/>
      <c r="D177" s="26"/>
      <c r="E177" s="26"/>
      <c r="F177" s="76">
        <v>45315</v>
      </c>
      <c r="G177" s="114">
        <v>172</v>
      </c>
      <c r="H177" s="5" t="s">
        <v>60</v>
      </c>
      <c r="I177" s="5" t="s">
        <v>418</v>
      </c>
      <c r="J177" s="66" t="s">
        <v>224</v>
      </c>
      <c r="K177" s="6"/>
      <c r="L177" s="6"/>
      <c r="M177" s="116">
        <v>8500</v>
      </c>
      <c r="N177" s="7">
        <f t="shared" si="14"/>
        <v>3251866</v>
      </c>
      <c r="O177" s="86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1"/>
      <c r="AB177" s="14"/>
      <c r="AC177" s="14"/>
      <c r="AD177" s="14"/>
      <c r="AE177" s="14"/>
      <c r="AF177" s="14"/>
      <c r="AG177" s="14"/>
      <c r="AH177" s="3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</row>
    <row r="178" spans="1:54" s="30" customFormat="1" ht="12.75" customHeight="1" x14ac:dyDescent="0.3">
      <c r="A178" s="2"/>
      <c r="B178" s="119">
        <v>1</v>
      </c>
      <c r="C178" s="4"/>
      <c r="D178" s="26"/>
      <c r="E178" s="26"/>
      <c r="F178" s="76">
        <v>45314</v>
      </c>
      <c r="G178" s="114">
        <v>173</v>
      </c>
      <c r="H178" s="5" t="s">
        <v>225</v>
      </c>
      <c r="I178" s="5" t="s">
        <v>418</v>
      </c>
      <c r="J178" s="66" t="s">
        <v>226</v>
      </c>
      <c r="K178" s="6"/>
      <c r="L178" s="6"/>
      <c r="M178" s="116">
        <v>1710</v>
      </c>
      <c r="N178" s="7">
        <f t="shared" si="14"/>
        <v>3253576</v>
      </c>
      <c r="O178" s="86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1"/>
      <c r="AB178" s="14"/>
      <c r="AC178" s="14"/>
      <c r="AD178" s="14"/>
      <c r="AE178" s="14"/>
      <c r="AF178" s="14"/>
      <c r="AG178" s="14"/>
      <c r="AH178" s="14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</row>
    <row r="179" spans="1:54" s="30" customFormat="1" ht="12.75" customHeight="1" x14ac:dyDescent="0.3">
      <c r="A179" s="2"/>
      <c r="B179" s="119">
        <v>1</v>
      </c>
      <c r="C179" s="4"/>
      <c r="D179" s="26"/>
      <c r="E179" s="26"/>
      <c r="F179" s="76">
        <v>45315</v>
      </c>
      <c r="G179" s="114">
        <v>174</v>
      </c>
      <c r="H179" s="5" t="s">
        <v>76</v>
      </c>
      <c r="I179" s="5" t="s">
        <v>418</v>
      </c>
      <c r="J179" s="66" t="s">
        <v>227</v>
      </c>
      <c r="K179" s="6"/>
      <c r="L179" s="6"/>
      <c r="M179" s="116">
        <v>38576</v>
      </c>
      <c r="N179" s="7">
        <f t="shared" si="14"/>
        <v>3292152</v>
      </c>
      <c r="O179" s="86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1"/>
      <c r="AB179" s="14"/>
      <c r="AC179" s="14"/>
      <c r="AD179" s="14"/>
      <c r="AE179" s="14"/>
      <c r="AF179" s="14"/>
      <c r="AG179" s="14"/>
      <c r="AH179" s="14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</row>
    <row r="180" spans="1:54" s="30" customFormat="1" ht="12.75" customHeight="1" x14ac:dyDescent="0.3">
      <c r="A180" s="2"/>
      <c r="B180" s="119">
        <v>1</v>
      </c>
      <c r="C180" s="4"/>
      <c r="D180" s="26"/>
      <c r="E180" s="26"/>
      <c r="F180" s="76">
        <v>45315</v>
      </c>
      <c r="G180" s="114">
        <v>175</v>
      </c>
      <c r="H180" s="5" t="s">
        <v>134</v>
      </c>
      <c r="I180" s="5" t="s">
        <v>418</v>
      </c>
      <c r="J180" s="66" t="s">
        <v>228</v>
      </c>
      <c r="K180" s="6"/>
      <c r="L180" s="6"/>
      <c r="M180" s="116">
        <v>5959</v>
      </c>
      <c r="N180" s="7">
        <f t="shared" si="14"/>
        <v>3298111</v>
      </c>
      <c r="O180" s="86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1"/>
      <c r="AB180" s="14"/>
      <c r="AC180" s="14"/>
      <c r="AD180" s="14"/>
      <c r="AE180" s="14"/>
      <c r="AF180" s="14"/>
      <c r="AG180" s="14"/>
      <c r="AH180" s="14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</row>
    <row r="181" spans="1:54" s="30" customFormat="1" ht="12.75" customHeight="1" x14ac:dyDescent="0.3">
      <c r="A181" s="2"/>
      <c r="B181" s="119">
        <v>1</v>
      </c>
      <c r="C181" s="4"/>
      <c r="D181" s="26"/>
      <c r="E181" s="26"/>
      <c r="F181" s="76">
        <v>45311</v>
      </c>
      <c r="G181" s="114">
        <v>176</v>
      </c>
      <c r="H181" s="5" t="s">
        <v>357</v>
      </c>
      <c r="I181" s="5" t="s">
        <v>357</v>
      </c>
      <c r="J181" s="66" t="s">
        <v>229</v>
      </c>
      <c r="K181" s="6"/>
      <c r="L181" s="6"/>
      <c r="M181" s="116">
        <v>11100</v>
      </c>
      <c r="N181" s="7">
        <f t="shared" si="14"/>
        <v>3309211</v>
      </c>
      <c r="O181" s="86"/>
      <c r="P181" s="20">
        <v>11100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1"/>
      <c r="AB181" s="14"/>
      <c r="AC181" s="14"/>
      <c r="AD181" s="14"/>
      <c r="AE181" s="14"/>
      <c r="AF181" s="14"/>
      <c r="AG181" s="14"/>
      <c r="AH181" s="14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</row>
    <row r="182" spans="1:54" s="30" customFormat="1" ht="12.75" customHeight="1" x14ac:dyDescent="0.3">
      <c r="A182" s="2"/>
      <c r="B182" s="119">
        <v>1</v>
      </c>
      <c r="C182" s="4"/>
      <c r="D182" s="26"/>
      <c r="E182" s="26"/>
      <c r="F182" s="76">
        <v>45317</v>
      </c>
      <c r="G182" s="114">
        <v>177</v>
      </c>
      <c r="H182" s="5" t="s">
        <v>230</v>
      </c>
      <c r="I182" s="5" t="s">
        <v>418</v>
      </c>
      <c r="J182" s="66" t="s">
        <v>231</v>
      </c>
      <c r="K182" s="6"/>
      <c r="L182" s="6"/>
      <c r="M182" s="116">
        <v>2000</v>
      </c>
      <c r="N182" s="7">
        <f t="shared" si="14"/>
        <v>3311211</v>
      </c>
      <c r="O182" s="86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1"/>
      <c r="AB182" s="14"/>
      <c r="AC182" s="14"/>
      <c r="AD182" s="14"/>
      <c r="AE182" s="14"/>
      <c r="AF182" s="14"/>
      <c r="AG182" s="14"/>
      <c r="AH182" s="14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</row>
    <row r="183" spans="1:54" s="30" customFormat="1" ht="12.75" customHeight="1" x14ac:dyDescent="0.3">
      <c r="A183" s="2"/>
      <c r="B183" s="119">
        <v>1</v>
      </c>
      <c r="C183" s="4"/>
      <c r="D183" s="26"/>
      <c r="E183" s="26"/>
      <c r="F183" s="76">
        <v>45317</v>
      </c>
      <c r="G183" s="114">
        <v>178</v>
      </c>
      <c r="H183" s="5" t="s">
        <v>16</v>
      </c>
      <c r="I183" s="5" t="s">
        <v>418</v>
      </c>
      <c r="J183" s="66" t="s">
        <v>232</v>
      </c>
      <c r="K183" s="6"/>
      <c r="L183" s="6"/>
      <c r="M183" s="116">
        <v>1500</v>
      </c>
      <c r="N183" s="7">
        <f t="shared" si="14"/>
        <v>3312711</v>
      </c>
      <c r="O183" s="86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1"/>
      <c r="AB183" s="14"/>
      <c r="AC183" s="14"/>
      <c r="AD183" s="14"/>
      <c r="AE183" s="14"/>
      <c r="AF183" s="14"/>
      <c r="AG183" s="14"/>
      <c r="AH183" s="14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</row>
    <row r="184" spans="1:54" s="30" customFormat="1" ht="12.75" customHeight="1" x14ac:dyDescent="0.3">
      <c r="A184" s="2"/>
      <c r="B184" s="119">
        <v>1</v>
      </c>
      <c r="C184" s="4"/>
      <c r="D184" s="26"/>
      <c r="E184" s="26"/>
      <c r="F184" s="76">
        <v>45318</v>
      </c>
      <c r="G184" s="114">
        <v>179</v>
      </c>
      <c r="H184" s="5" t="s">
        <v>16</v>
      </c>
      <c r="I184" s="5" t="s">
        <v>418</v>
      </c>
      <c r="J184" s="66" t="s">
        <v>233</v>
      </c>
      <c r="K184" s="6"/>
      <c r="L184" s="6"/>
      <c r="M184" s="116">
        <v>48800</v>
      </c>
      <c r="N184" s="7">
        <f t="shared" si="14"/>
        <v>3361511</v>
      </c>
      <c r="O184" s="86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1"/>
      <c r="AB184" s="14"/>
      <c r="AC184" s="14"/>
      <c r="AD184" s="14"/>
      <c r="AE184" s="14"/>
      <c r="AF184" s="14"/>
      <c r="AG184" s="14"/>
      <c r="AH184" s="14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</row>
    <row r="185" spans="1:54" s="30" customFormat="1" ht="12.75" customHeight="1" x14ac:dyDescent="0.3">
      <c r="A185" s="2"/>
      <c r="B185" s="119">
        <v>1</v>
      </c>
      <c r="C185" s="4"/>
      <c r="D185" s="26"/>
      <c r="E185" s="26"/>
      <c r="F185" s="76">
        <v>45320</v>
      </c>
      <c r="G185" s="114">
        <v>180</v>
      </c>
      <c r="H185" s="5" t="s">
        <v>27</v>
      </c>
      <c r="I185" s="5" t="s">
        <v>418</v>
      </c>
      <c r="J185" s="66" t="s">
        <v>234</v>
      </c>
      <c r="K185" s="6"/>
      <c r="L185" s="6"/>
      <c r="M185" s="116">
        <v>400</v>
      </c>
      <c r="N185" s="7">
        <f t="shared" si="14"/>
        <v>3361911</v>
      </c>
      <c r="O185" s="86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1"/>
      <c r="AB185" s="14"/>
      <c r="AC185" s="14"/>
      <c r="AD185" s="14"/>
      <c r="AE185" s="14"/>
      <c r="AF185" s="14"/>
      <c r="AG185" s="14"/>
      <c r="AH185" s="14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</row>
    <row r="186" spans="1:54" s="30" customFormat="1" ht="12.75" customHeight="1" x14ac:dyDescent="0.3">
      <c r="A186" s="2"/>
      <c r="B186" s="119">
        <v>1</v>
      </c>
      <c r="C186" s="4"/>
      <c r="D186" s="26"/>
      <c r="E186" s="26"/>
      <c r="F186" s="76">
        <v>45320</v>
      </c>
      <c r="G186" s="114">
        <v>181</v>
      </c>
      <c r="H186" s="5" t="s">
        <v>27</v>
      </c>
      <c r="I186" s="5" t="s">
        <v>418</v>
      </c>
      <c r="J186" s="66" t="s">
        <v>235</v>
      </c>
      <c r="K186" s="6"/>
      <c r="L186" s="6"/>
      <c r="M186" s="116">
        <v>500</v>
      </c>
      <c r="N186" s="7">
        <f t="shared" si="14"/>
        <v>3362411</v>
      </c>
      <c r="O186" s="86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1"/>
      <c r="AB186" s="14"/>
      <c r="AC186" s="14"/>
      <c r="AD186" s="14"/>
      <c r="AE186" s="14"/>
      <c r="AF186" s="14"/>
      <c r="AG186" s="14"/>
      <c r="AH186" s="14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</row>
    <row r="187" spans="1:54" s="30" customFormat="1" ht="12.75" customHeight="1" x14ac:dyDescent="0.3">
      <c r="A187" s="2"/>
      <c r="B187" s="119">
        <v>1</v>
      </c>
      <c r="C187" s="4"/>
      <c r="D187" s="26"/>
      <c r="E187" s="26"/>
      <c r="F187" s="76">
        <v>45320</v>
      </c>
      <c r="G187" s="114">
        <v>182</v>
      </c>
      <c r="H187" s="5" t="s">
        <v>76</v>
      </c>
      <c r="I187" s="5" t="s">
        <v>418</v>
      </c>
      <c r="J187" s="66" t="s">
        <v>236</v>
      </c>
      <c r="K187" s="6"/>
      <c r="L187" s="6"/>
      <c r="M187" s="116">
        <v>21500</v>
      </c>
      <c r="N187" s="7">
        <f t="shared" ref="N187:N250" si="15">M187+N186</f>
        <v>3383911</v>
      </c>
      <c r="O187" s="86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1"/>
      <c r="AB187" s="14"/>
      <c r="AC187" s="14"/>
      <c r="AD187" s="14"/>
      <c r="AE187" s="14"/>
      <c r="AF187" s="14"/>
      <c r="AG187" s="14"/>
      <c r="AH187" s="14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</row>
    <row r="188" spans="1:54" s="30" customFormat="1" ht="12.75" customHeight="1" x14ac:dyDescent="0.3">
      <c r="A188" s="2"/>
      <c r="B188" s="119">
        <v>1</v>
      </c>
      <c r="C188" s="4"/>
      <c r="D188" s="26"/>
      <c r="E188" s="26"/>
      <c r="F188" s="76">
        <v>45321</v>
      </c>
      <c r="G188" s="114">
        <v>183</v>
      </c>
      <c r="H188" s="5" t="s">
        <v>357</v>
      </c>
      <c r="I188" s="5" t="s">
        <v>357</v>
      </c>
      <c r="J188" s="66" t="s">
        <v>237</v>
      </c>
      <c r="K188" s="6"/>
      <c r="L188" s="6"/>
      <c r="M188" s="116">
        <v>9150</v>
      </c>
      <c r="N188" s="7">
        <f t="shared" si="15"/>
        <v>3393061</v>
      </c>
      <c r="O188" s="86"/>
      <c r="P188" s="20">
        <v>9150</v>
      </c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1"/>
      <c r="AB188" s="14"/>
      <c r="AC188" s="14"/>
      <c r="AD188" s="14"/>
      <c r="AE188" s="14"/>
      <c r="AF188" s="14"/>
      <c r="AG188" s="14"/>
      <c r="AH188" s="14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</row>
    <row r="189" spans="1:54" s="30" customFormat="1" ht="12.75" customHeight="1" x14ac:dyDescent="0.3">
      <c r="A189" s="2"/>
      <c r="B189" s="119">
        <v>1</v>
      </c>
      <c r="C189" s="4"/>
      <c r="D189" s="26"/>
      <c r="E189" s="26"/>
      <c r="F189" s="76">
        <v>45321</v>
      </c>
      <c r="G189" s="114">
        <v>184</v>
      </c>
      <c r="H189" s="5" t="s">
        <v>16</v>
      </c>
      <c r="I189" s="5" t="s">
        <v>418</v>
      </c>
      <c r="J189" s="66" t="s">
        <v>238</v>
      </c>
      <c r="K189" s="6"/>
      <c r="L189" s="6"/>
      <c r="M189" s="116">
        <v>2500</v>
      </c>
      <c r="N189" s="7">
        <f t="shared" si="15"/>
        <v>3395561</v>
      </c>
      <c r="O189" s="86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1"/>
      <c r="AB189" s="14"/>
      <c r="AC189" s="14"/>
      <c r="AD189" s="14"/>
      <c r="AE189" s="14"/>
      <c r="AF189" s="14"/>
      <c r="AG189" s="14"/>
      <c r="AH189" s="14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</row>
    <row r="190" spans="1:54" s="30" customFormat="1" ht="12.75" customHeight="1" x14ac:dyDescent="0.3">
      <c r="A190" s="2"/>
      <c r="B190" s="119">
        <v>1</v>
      </c>
      <c r="C190" s="4"/>
      <c r="D190" s="26"/>
      <c r="E190" s="26"/>
      <c r="F190" s="76">
        <v>45325</v>
      </c>
      <c r="G190" s="114">
        <v>185</v>
      </c>
      <c r="H190" s="5" t="s">
        <v>16</v>
      </c>
      <c r="I190" s="5" t="s">
        <v>418</v>
      </c>
      <c r="J190" s="66" t="s">
        <v>239</v>
      </c>
      <c r="K190" s="6"/>
      <c r="L190" s="6"/>
      <c r="M190" s="116">
        <v>39000</v>
      </c>
      <c r="N190" s="7">
        <f t="shared" si="15"/>
        <v>3434561</v>
      </c>
      <c r="O190" s="86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1"/>
      <c r="AB190" s="14"/>
      <c r="AC190" s="14"/>
      <c r="AD190" s="14"/>
      <c r="AE190" s="14"/>
      <c r="AF190" s="14"/>
      <c r="AG190" s="14"/>
      <c r="AH190" s="14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</row>
    <row r="191" spans="1:54" s="30" customFormat="1" ht="12.75" customHeight="1" x14ac:dyDescent="0.3">
      <c r="A191" s="2"/>
      <c r="B191" s="119">
        <v>1</v>
      </c>
      <c r="C191" s="4"/>
      <c r="D191" s="26"/>
      <c r="E191" s="26"/>
      <c r="F191" s="76">
        <v>45325</v>
      </c>
      <c r="G191" s="114">
        <v>186</v>
      </c>
      <c r="H191" s="5" t="s">
        <v>58</v>
      </c>
      <c r="I191" s="5" t="s">
        <v>418</v>
      </c>
      <c r="J191" s="66" t="s">
        <v>240</v>
      </c>
      <c r="K191" s="6"/>
      <c r="L191" s="6"/>
      <c r="M191" s="116">
        <v>23000</v>
      </c>
      <c r="N191" s="7">
        <f t="shared" si="15"/>
        <v>3457561</v>
      </c>
      <c r="O191" s="86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1"/>
      <c r="AB191" s="14"/>
      <c r="AC191" s="14"/>
      <c r="AD191" s="14"/>
      <c r="AE191" s="14"/>
      <c r="AF191" s="14"/>
      <c r="AG191" s="14"/>
      <c r="AH191" s="14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</row>
    <row r="192" spans="1:54" s="30" customFormat="1" ht="12.75" customHeight="1" x14ac:dyDescent="0.3">
      <c r="A192" s="2"/>
      <c r="B192" s="119">
        <v>1</v>
      </c>
      <c r="C192" s="4"/>
      <c r="D192" s="26"/>
      <c r="E192" s="26"/>
      <c r="F192" s="76">
        <v>45325</v>
      </c>
      <c r="G192" s="114">
        <v>187</v>
      </c>
      <c r="H192" s="5" t="s">
        <v>241</v>
      </c>
      <c r="I192" s="5" t="s">
        <v>356</v>
      </c>
      <c r="J192" s="66" t="s">
        <v>242</v>
      </c>
      <c r="K192" s="6"/>
      <c r="L192" s="6"/>
      <c r="M192" s="116">
        <v>31000</v>
      </c>
      <c r="N192" s="7">
        <f t="shared" si="15"/>
        <v>3488561</v>
      </c>
      <c r="O192" s="86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1"/>
      <c r="AB192" s="14"/>
      <c r="AC192" s="14"/>
      <c r="AD192" s="14"/>
      <c r="AE192" s="14"/>
      <c r="AF192" s="14"/>
      <c r="AG192" s="14"/>
      <c r="AH192" s="14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</row>
    <row r="193" spans="1:54" s="30" customFormat="1" ht="12.75" customHeight="1" x14ac:dyDescent="0.3">
      <c r="A193" s="2"/>
      <c r="B193" s="119">
        <v>1</v>
      </c>
      <c r="C193" s="4"/>
      <c r="D193" s="26"/>
      <c r="E193" s="26"/>
      <c r="F193" s="76">
        <v>45297</v>
      </c>
      <c r="G193" s="114">
        <v>188</v>
      </c>
      <c r="H193" s="5" t="s">
        <v>16</v>
      </c>
      <c r="I193" s="5" t="s">
        <v>418</v>
      </c>
      <c r="J193" s="66" t="s">
        <v>248</v>
      </c>
      <c r="K193" s="6"/>
      <c r="L193" s="6"/>
      <c r="M193" s="116">
        <v>10000</v>
      </c>
      <c r="N193" s="7">
        <f t="shared" si="15"/>
        <v>3498561</v>
      </c>
      <c r="O193" s="86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1"/>
      <c r="AB193" s="14"/>
      <c r="AC193" s="14"/>
      <c r="AD193" s="14"/>
      <c r="AE193" s="14"/>
      <c r="AF193" s="14"/>
      <c r="AG193" s="14"/>
      <c r="AH193" s="14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</row>
    <row r="194" spans="1:54" s="30" customFormat="1" ht="12.75" customHeight="1" x14ac:dyDescent="0.3">
      <c r="A194" s="2"/>
      <c r="B194" s="119">
        <v>1</v>
      </c>
      <c r="C194" s="4"/>
      <c r="D194" s="26"/>
      <c r="E194" s="26"/>
      <c r="F194" s="76">
        <v>45330</v>
      </c>
      <c r="G194" s="114">
        <v>189</v>
      </c>
      <c r="H194" s="5" t="s">
        <v>16</v>
      </c>
      <c r="I194" s="5" t="s">
        <v>418</v>
      </c>
      <c r="J194" s="66" t="s">
        <v>249</v>
      </c>
      <c r="K194" s="6"/>
      <c r="L194" s="6"/>
      <c r="M194" s="116">
        <v>500</v>
      </c>
      <c r="N194" s="7">
        <f t="shared" si="15"/>
        <v>3499061</v>
      </c>
      <c r="O194" s="86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1"/>
      <c r="AB194" s="14"/>
      <c r="AC194" s="14"/>
      <c r="AD194" s="14"/>
      <c r="AE194" s="14"/>
      <c r="AF194" s="14"/>
      <c r="AG194" s="14"/>
      <c r="AH194" s="14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</row>
    <row r="195" spans="1:54" s="30" customFormat="1" ht="12.75" customHeight="1" x14ac:dyDescent="0.3">
      <c r="A195" s="2"/>
      <c r="B195" s="119">
        <v>1</v>
      </c>
      <c r="C195" s="4"/>
      <c r="D195" s="26"/>
      <c r="E195" s="26"/>
      <c r="F195" s="76">
        <v>45332</v>
      </c>
      <c r="G195" s="114">
        <v>190</v>
      </c>
      <c r="H195" s="5" t="s">
        <v>241</v>
      </c>
      <c r="I195" s="5" t="s">
        <v>356</v>
      </c>
      <c r="J195" s="66" t="s">
        <v>250</v>
      </c>
      <c r="K195" s="6"/>
      <c r="L195" s="6"/>
      <c r="M195" s="116">
        <v>30000</v>
      </c>
      <c r="N195" s="7">
        <f t="shared" si="15"/>
        <v>3529061</v>
      </c>
      <c r="O195" s="86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1"/>
      <c r="AB195" s="14"/>
      <c r="AC195" s="14"/>
      <c r="AD195" s="14"/>
      <c r="AE195" s="14"/>
      <c r="AF195" s="14"/>
      <c r="AG195" s="14"/>
      <c r="AH195" s="14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</row>
    <row r="196" spans="1:54" s="30" customFormat="1" ht="12.75" customHeight="1" x14ac:dyDescent="0.3">
      <c r="A196" s="2"/>
      <c r="B196" s="119">
        <v>1</v>
      </c>
      <c r="C196" s="4"/>
      <c r="D196" s="26"/>
      <c r="E196" s="26"/>
      <c r="F196" s="76">
        <v>45332</v>
      </c>
      <c r="G196" s="114">
        <v>191</v>
      </c>
      <c r="H196" s="5" t="s">
        <v>16</v>
      </c>
      <c r="I196" s="5" t="s">
        <v>418</v>
      </c>
      <c r="J196" s="66" t="s">
        <v>251</v>
      </c>
      <c r="K196" s="6"/>
      <c r="L196" s="6"/>
      <c r="M196" s="116">
        <v>29000</v>
      </c>
      <c r="N196" s="7">
        <f t="shared" si="15"/>
        <v>3558061</v>
      </c>
      <c r="O196" s="86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1"/>
      <c r="AB196" s="14"/>
      <c r="AC196" s="14"/>
      <c r="AD196" s="14"/>
      <c r="AE196" s="14"/>
      <c r="AF196" s="14"/>
      <c r="AG196" s="14"/>
      <c r="AH196" s="14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</row>
    <row r="197" spans="1:54" s="30" customFormat="1" ht="12.75" customHeight="1" x14ac:dyDescent="0.3">
      <c r="A197" s="2"/>
      <c r="B197" s="119">
        <v>1</v>
      </c>
      <c r="C197" s="4"/>
      <c r="D197" s="26"/>
      <c r="E197" s="26"/>
      <c r="F197" s="76">
        <v>45334</v>
      </c>
      <c r="G197" s="114">
        <v>192</v>
      </c>
      <c r="H197" s="5" t="s">
        <v>76</v>
      </c>
      <c r="I197" s="5" t="s">
        <v>418</v>
      </c>
      <c r="J197" s="66" t="s">
        <v>252</v>
      </c>
      <c r="K197" s="6"/>
      <c r="L197" s="6"/>
      <c r="M197" s="116">
        <v>30530</v>
      </c>
      <c r="N197" s="7">
        <f t="shared" si="15"/>
        <v>3588591</v>
      </c>
      <c r="O197" s="86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1"/>
      <c r="AB197" s="14"/>
      <c r="AC197" s="14"/>
      <c r="AD197" s="14"/>
      <c r="AE197" s="14"/>
      <c r="AF197" s="14"/>
      <c r="AG197" s="14"/>
      <c r="AH197" s="14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</row>
    <row r="198" spans="1:54" s="30" customFormat="1" ht="12.75" customHeight="1" x14ac:dyDescent="0.3">
      <c r="A198" s="2"/>
      <c r="B198" s="119">
        <v>1</v>
      </c>
      <c r="C198" s="4"/>
      <c r="D198" s="26"/>
      <c r="E198" s="26"/>
      <c r="F198" s="76">
        <v>45334</v>
      </c>
      <c r="G198" s="114">
        <v>193</v>
      </c>
      <c r="H198" s="5" t="s">
        <v>134</v>
      </c>
      <c r="I198" s="5" t="s">
        <v>418</v>
      </c>
      <c r="J198" s="66" t="s">
        <v>253</v>
      </c>
      <c r="K198" s="6"/>
      <c r="L198" s="6"/>
      <c r="M198" s="116">
        <v>33153</v>
      </c>
      <c r="N198" s="7">
        <f t="shared" si="15"/>
        <v>3621744</v>
      </c>
      <c r="O198" s="86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1"/>
      <c r="AB198" s="14"/>
      <c r="AC198" s="14"/>
      <c r="AD198" s="14"/>
      <c r="AE198" s="14"/>
      <c r="AF198" s="14"/>
      <c r="AG198" s="14"/>
      <c r="AH198" s="14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</row>
    <row r="199" spans="1:54" s="30" customFormat="1" ht="12.75" customHeight="1" x14ac:dyDescent="0.3">
      <c r="A199" s="2"/>
      <c r="B199" s="119">
        <v>1</v>
      </c>
      <c r="C199" s="4"/>
      <c r="D199" s="26"/>
      <c r="E199" s="26"/>
      <c r="F199" s="76">
        <v>45334</v>
      </c>
      <c r="G199" s="114">
        <v>194</v>
      </c>
      <c r="H199" s="5" t="s">
        <v>254</v>
      </c>
      <c r="I199" s="5" t="s">
        <v>418</v>
      </c>
      <c r="J199" s="66" t="s">
        <v>255</v>
      </c>
      <c r="K199" s="6"/>
      <c r="L199" s="6"/>
      <c r="M199" s="116">
        <v>1200</v>
      </c>
      <c r="N199" s="7">
        <f t="shared" si="15"/>
        <v>3622944</v>
      </c>
      <c r="O199" s="86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1"/>
      <c r="AB199" s="14"/>
      <c r="AC199" s="14"/>
      <c r="AD199" s="14"/>
      <c r="AE199" s="14"/>
      <c r="AF199" s="14"/>
      <c r="AG199" s="14"/>
      <c r="AH199" s="14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</row>
    <row r="200" spans="1:54" s="30" customFormat="1" ht="12.75" customHeight="1" x14ac:dyDescent="0.3">
      <c r="A200" s="2"/>
      <c r="B200" s="119">
        <v>1</v>
      </c>
      <c r="C200" s="4"/>
      <c r="D200" s="26"/>
      <c r="E200" s="26"/>
      <c r="F200" s="76">
        <v>45336</v>
      </c>
      <c r="G200" s="114">
        <v>195</v>
      </c>
      <c r="H200" s="5" t="s">
        <v>16</v>
      </c>
      <c r="I200" s="5" t="s">
        <v>418</v>
      </c>
      <c r="J200" s="66" t="s">
        <v>256</v>
      </c>
      <c r="K200" s="6"/>
      <c r="L200" s="6"/>
      <c r="M200" s="116">
        <v>2000</v>
      </c>
      <c r="N200" s="7">
        <f t="shared" si="15"/>
        <v>3624944</v>
      </c>
      <c r="O200" s="86"/>
      <c r="P200" s="20"/>
      <c r="Q200" s="20"/>
      <c r="R200" s="20"/>
      <c r="S200" s="20"/>
      <c r="T200" s="20"/>
      <c r="U200" s="20"/>
      <c r="V200" s="20"/>
      <c r="W200" s="20"/>
      <c r="X200" s="64"/>
      <c r="Y200" s="64"/>
      <c r="Z200" s="64"/>
      <c r="AA200" s="21"/>
      <c r="AB200" s="14"/>
      <c r="AC200" s="14"/>
      <c r="AD200" s="14"/>
      <c r="AE200" s="14"/>
      <c r="AF200" s="14"/>
      <c r="AG200" s="14"/>
      <c r="AH200" s="14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</row>
    <row r="201" spans="1:54" s="30" customFormat="1" ht="12.75" customHeight="1" x14ac:dyDescent="0.3">
      <c r="A201" s="2"/>
      <c r="B201" s="119">
        <v>1</v>
      </c>
      <c r="C201" s="4"/>
      <c r="D201" s="26"/>
      <c r="E201" s="26"/>
      <c r="F201" s="76">
        <v>45335</v>
      </c>
      <c r="G201" s="114">
        <v>196</v>
      </c>
      <c r="H201" s="5" t="s">
        <v>27</v>
      </c>
      <c r="I201" s="5" t="s">
        <v>418</v>
      </c>
      <c r="J201" s="66" t="s">
        <v>257</v>
      </c>
      <c r="K201" s="6"/>
      <c r="L201" s="6"/>
      <c r="M201" s="116">
        <v>1860</v>
      </c>
      <c r="N201" s="7">
        <f t="shared" si="15"/>
        <v>3626804</v>
      </c>
      <c r="O201" s="86"/>
      <c r="P201" s="7"/>
      <c r="Q201" s="7"/>
      <c r="R201" s="7"/>
      <c r="S201" s="7"/>
      <c r="T201" s="7"/>
      <c r="U201" s="7"/>
      <c r="V201" s="7"/>
      <c r="W201" s="7"/>
      <c r="X201" s="20"/>
      <c r="Y201" s="20"/>
      <c r="Z201" s="20"/>
      <c r="AA201" s="21"/>
      <c r="AB201" s="14"/>
      <c r="AC201" s="14"/>
      <c r="AD201" s="14"/>
      <c r="AE201" s="14"/>
      <c r="AF201" s="14"/>
      <c r="AG201" s="14"/>
      <c r="AH201" s="14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</row>
    <row r="202" spans="1:54" s="30" customFormat="1" ht="12.75" customHeight="1" x14ac:dyDescent="0.3">
      <c r="A202" s="2"/>
      <c r="B202" s="119">
        <v>1</v>
      </c>
      <c r="C202" s="4"/>
      <c r="D202" s="26"/>
      <c r="E202" s="26"/>
      <c r="F202" s="76">
        <v>45339</v>
      </c>
      <c r="G202" s="114">
        <v>197</v>
      </c>
      <c r="H202" s="5" t="s">
        <v>16</v>
      </c>
      <c r="I202" s="5" t="s">
        <v>418</v>
      </c>
      <c r="J202" s="66" t="s">
        <v>258</v>
      </c>
      <c r="K202" s="6"/>
      <c r="L202" s="6"/>
      <c r="M202" s="116">
        <v>41000</v>
      </c>
      <c r="N202" s="7">
        <f t="shared" si="15"/>
        <v>3667804</v>
      </c>
      <c r="O202" s="86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1"/>
      <c r="AB202" s="14"/>
      <c r="AC202" s="14"/>
      <c r="AD202" s="14"/>
      <c r="AE202" s="14"/>
      <c r="AF202" s="14"/>
      <c r="AG202" s="14"/>
      <c r="AH202" s="14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</row>
    <row r="203" spans="1:54" s="30" customFormat="1" ht="12.75" customHeight="1" x14ac:dyDescent="0.3">
      <c r="A203" s="2"/>
      <c r="B203" s="119">
        <v>1</v>
      </c>
      <c r="C203" s="4"/>
      <c r="D203" s="26"/>
      <c r="E203" s="26"/>
      <c r="F203" s="76">
        <v>45342</v>
      </c>
      <c r="G203" s="114">
        <v>198</v>
      </c>
      <c r="H203" s="5" t="s">
        <v>16</v>
      </c>
      <c r="I203" s="5" t="s">
        <v>418</v>
      </c>
      <c r="J203" s="66" t="s">
        <v>259</v>
      </c>
      <c r="K203" s="6"/>
      <c r="L203" s="6"/>
      <c r="M203" s="116">
        <v>2000</v>
      </c>
      <c r="N203" s="7">
        <f t="shared" si="15"/>
        <v>3669804</v>
      </c>
      <c r="O203" s="86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1"/>
      <c r="AB203" s="14"/>
      <c r="AC203" s="14"/>
      <c r="AD203" s="14"/>
      <c r="AE203" s="14"/>
      <c r="AF203" s="14"/>
      <c r="AG203" s="14"/>
      <c r="AH203" s="14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</row>
    <row r="204" spans="1:54" s="30" customFormat="1" ht="12.75" customHeight="1" x14ac:dyDescent="0.3">
      <c r="A204" s="2"/>
      <c r="B204" s="119">
        <v>1</v>
      </c>
      <c r="C204" s="4"/>
      <c r="D204" s="26"/>
      <c r="E204" s="26"/>
      <c r="F204" s="76">
        <v>45344</v>
      </c>
      <c r="G204" s="114">
        <v>199</v>
      </c>
      <c r="H204" s="5" t="s">
        <v>260</v>
      </c>
      <c r="I204" s="5" t="s">
        <v>418</v>
      </c>
      <c r="J204" s="66" t="s">
        <v>261</v>
      </c>
      <c r="K204" s="6"/>
      <c r="L204" s="6"/>
      <c r="M204" s="116">
        <v>75000</v>
      </c>
      <c r="N204" s="7">
        <f t="shared" si="15"/>
        <v>3744804</v>
      </c>
      <c r="O204" s="86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1"/>
      <c r="AB204" s="14"/>
      <c r="AC204" s="14"/>
      <c r="AD204" s="14"/>
      <c r="AE204" s="14"/>
      <c r="AF204" s="14"/>
      <c r="AG204" s="14"/>
      <c r="AH204" s="14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</row>
    <row r="205" spans="1:54" s="30" customFormat="1" ht="12.75" customHeight="1" x14ac:dyDescent="0.3">
      <c r="A205" s="2"/>
      <c r="B205" s="119">
        <v>1</v>
      </c>
      <c r="C205" s="4"/>
      <c r="D205" s="26"/>
      <c r="E205" s="26"/>
      <c r="F205" s="76">
        <v>45346</v>
      </c>
      <c r="G205" s="114">
        <v>200</v>
      </c>
      <c r="H205" s="5" t="s">
        <v>27</v>
      </c>
      <c r="I205" s="5" t="s">
        <v>418</v>
      </c>
      <c r="J205" s="66" t="s">
        <v>262</v>
      </c>
      <c r="K205" s="6"/>
      <c r="L205" s="6"/>
      <c r="M205" s="116">
        <v>1500</v>
      </c>
      <c r="N205" s="7">
        <f t="shared" si="15"/>
        <v>3746304</v>
      </c>
      <c r="O205" s="86"/>
      <c r="P205" s="20"/>
      <c r="Q205" s="20"/>
      <c r="R205" s="20"/>
      <c r="S205" s="20"/>
      <c r="T205" s="20"/>
      <c r="U205" s="20"/>
      <c r="V205" s="20"/>
      <c r="W205" s="20"/>
      <c r="X205" s="64"/>
      <c r="Y205" s="64"/>
      <c r="Z205" s="64"/>
      <c r="AA205" s="21"/>
      <c r="AB205" s="14"/>
      <c r="AC205" s="14"/>
      <c r="AD205" s="14"/>
      <c r="AE205" s="14"/>
      <c r="AF205" s="14"/>
      <c r="AG205" s="14"/>
      <c r="AH205" s="14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</row>
    <row r="206" spans="1:54" s="30" customFormat="1" ht="12.75" customHeight="1" x14ac:dyDescent="0.3">
      <c r="A206" s="2"/>
      <c r="B206" s="119">
        <v>1</v>
      </c>
      <c r="C206" s="4"/>
      <c r="D206" s="26"/>
      <c r="E206" s="26"/>
      <c r="F206" s="76">
        <v>45346</v>
      </c>
      <c r="G206" s="114">
        <v>201</v>
      </c>
      <c r="H206" s="5" t="s">
        <v>16</v>
      </c>
      <c r="I206" s="5" t="s">
        <v>418</v>
      </c>
      <c r="J206" s="66" t="s">
        <v>263</v>
      </c>
      <c r="K206" s="6"/>
      <c r="L206" s="6"/>
      <c r="M206" s="116">
        <v>37500</v>
      </c>
      <c r="N206" s="7">
        <f t="shared" si="15"/>
        <v>3783804</v>
      </c>
      <c r="O206" s="86"/>
      <c r="P206" s="7"/>
      <c r="Q206" s="7"/>
      <c r="R206" s="7"/>
      <c r="S206" s="7"/>
      <c r="T206" s="7"/>
      <c r="U206" s="7"/>
      <c r="V206" s="7"/>
      <c r="W206" s="7"/>
      <c r="X206" s="20"/>
      <c r="Y206" s="20"/>
      <c r="Z206" s="20"/>
      <c r="AA206" s="21"/>
      <c r="AB206" s="14"/>
      <c r="AC206" s="14"/>
      <c r="AD206" s="14"/>
      <c r="AE206" s="14"/>
      <c r="AF206" s="14"/>
      <c r="AG206" s="14"/>
      <c r="AH206" s="14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</row>
    <row r="207" spans="1:54" s="30" customFormat="1" ht="12.75" customHeight="1" x14ac:dyDescent="0.3">
      <c r="A207" s="2"/>
      <c r="B207" s="119">
        <v>1</v>
      </c>
      <c r="C207" s="4"/>
      <c r="D207" s="26"/>
      <c r="E207" s="26"/>
      <c r="F207" s="76">
        <v>45346</v>
      </c>
      <c r="G207" s="114">
        <v>202</v>
      </c>
      <c r="H207" s="5" t="s">
        <v>76</v>
      </c>
      <c r="I207" s="5" t="s">
        <v>418</v>
      </c>
      <c r="J207" s="66" t="s">
        <v>264</v>
      </c>
      <c r="K207" s="6"/>
      <c r="L207" s="6"/>
      <c r="M207" s="116">
        <v>66325</v>
      </c>
      <c r="N207" s="7">
        <f t="shared" si="15"/>
        <v>3850129</v>
      </c>
      <c r="O207" s="86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1"/>
      <c r="AB207" s="14"/>
      <c r="AC207" s="14"/>
      <c r="AD207" s="14"/>
      <c r="AE207" s="14"/>
      <c r="AF207" s="14"/>
      <c r="AG207" s="14"/>
      <c r="AH207" s="14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</row>
    <row r="208" spans="1:54" s="30" customFormat="1" ht="12.75" customHeight="1" x14ac:dyDescent="0.3">
      <c r="A208" s="2"/>
      <c r="B208" s="119">
        <v>1</v>
      </c>
      <c r="C208" s="4"/>
      <c r="D208" s="26"/>
      <c r="E208" s="26"/>
      <c r="F208" s="76">
        <v>45346</v>
      </c>
      <c r="G208" s="114">
        <v>203</v>
      </c>
      <c r="H208" s="5" t="s">
        <v>146</v>
      </c>
      <c r="I208" s="5" t="s">
        <v>418</v>
      </c>
      <c r="J208" s="66" t="s">
        <v>265</v>
      </c>
      <c r="K208" s="6"/>
      <c r="L208" s="6"/>
      <c r="M208" s="116">
        <v>300</v>
      </c>
      <c r="N208" s="7">
        <f t="shared" si="15"/>
        <v>3850429</v>
      </c>
      <c r="O208" s="86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1"/>
      <c r="AB208" s="14"/>
      <c r="AC208" s="14"/>
      <c r="AD208" s="14"/>
      <c r="AE208" s="14"/>
      <c r="AF208" s="14"/>
      <c r="AG208" s="14"/>
      <c r="AH208" s="14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</row>
    <row r="209" spans="1:54" s="30" customFormat="1" ht="12.75" customHeight="1" x14ac:dyDescent="0.3">
      <c r="A209" s="2"/>
      <c r="B209" s="119">
        <v>1</v>
      </c>
      <c r="C209" s="4"/>
      <c r="D209" s="26"/>
      <c r="E209" s="26"/>
      <c r="F209" s="76">
        <v>45346</v>
      </c>
      <c r="G209" s="114">
        <v>204</v>
      </c>
      <c r="H209" s="5" t="s">
        <v>146</v>
      </c>
      <c r="I209" s="5" t="s">
        <v>418</v>
      </c>
      <c r="J209" s="66" t="s">
        <v>266</v>
      </c>
      <c r="K209" s="6"/>
      <c r="L209" s="6"/>
      <c r="M209" s="116">
        <v>1600</v>
      </c>
      <c r="N209" s="7">
        <f t="shared" si="15"/>
        <v>3852029</v>
      </c>
      <c r="O209" s="86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1"/>
      <c r="AB209" s="14"/>
      <c r="AC209" s="14"/>
      <c r="AD209" s="14"/>
      <c r="AE209" s="14"/>
      <c r="AF209" s="14"/>
      <c r="AG209" s="14"/>
      <c r="AH209" s="14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</row>
    <row r="210" spans="1:54" s="30" customFormat="1" ht="12.75" customHeight="1" x14ac:dyDescent="0.3">
      <c r="A210" s="2"/>
      <c r="B210" s="119">
        <v>1</v>
      </c>
      <c r="C210" s="4"/>
      <c r="D210" s="26"/>
      <c r="E210" s="26"/>
      <c r="F210" s="76">
        <v>45353</v>
      </c>
      <c r="G210" s="114">
        <v>205</v>
      </c>
      <c r="H210" s="5" t="s">
        <v>267</v>
      </c>
      <c r="I210" s="5" t="s">
        <v>418</v>
      </c>
      <c r="J210" s="66" t="s">
        <v>268</v>
      </c>
      <c r="K210" s="6"/>
      <c r="L210" s="6"/>
      <c r="M210" s="116">
        <v>650</v>
      </c>
      <c r="N210" s="7">
        <f t="shared" si="15"/>
        <v>3852679</v>
      </c>
      <c r="O210" s="86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1"/>
      <c r="AB210" s="14"/>
      <c r="AC210" s="14"/>
      <c r="AD210" s="14"/>
      <c r="AE210" s="14"/>
      <c r="AF210" s="14"/>
      <c r="AG210" s="14"/>
      <c r="AH210" s="14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</row>
    <row r="211" spans="1:54" s="30" customFormat="1" ht="12.75" customHeight="1" x14ac:dyDescent="0.3">
      <c r="A211" s="2"/>
      <c r="B211" s="119">
        <v>1</v>
      </c>
      <c r="C211" s="4"/>
      <c r="D211" s="26"/>
      <c r="E211" s="26"/>
      <c r="F211" s="76">
        <v>45353</v>
      </c>
      <c r="G211" s="114">
        <v>206</v>
      </c>
      <c r="H211" s="5" t="s">
        <v>16</v>
      </c>
      <c r="I211" s="5" t="s">
        <v>418</v>
      </c>
      <c r="J211" s="66" t="s">
        <v>269</v>
      </c>
      <c r="K211" s="6"/>
      <c r="L211" s="6"/>
      <c r="M211" s="116">
        <v>15100</v>
      </c>
      <c r="N211" s="7">
        <f t="shared" si="15"/>
        <v>3867779</v>
      </c>
      <c r="O211" s="86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1"/>
      <c r="AB211" s="14"/>
      <c r="AC211" s="14"/>
      <c r="AD211" s="14"/>
      <c r="AE211" s="14"/>
      <c r="AF211" s="14"/>
      <c r="AG211" s="14"/>
      <c r="AH211" s="14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</row>
    <row r="212" spans="1:54" s="30" customFormat="1" ht="12.75" customHeight="1" x14ac:dyDescent="0.3">
      <c r="A212" s="2"/>
      <c r="B212" s="119">
        <v>1</v>
      </c>
      <c r="C212" s="4"/>
      <c r="D212" s="26"/>
      <c r="E212" s="26"/>
      <c r="F212" s="76">
        <v>45323</v>
      </c>
      <c r="G212" s="114">
        <v>207</v>
      </c>
      <c r="H212" s="5" t="s">
        <v>270</v>
      </c>
      <c r="I212" s="5" t="s">
        <v>418</v>
      </c>
      <c r="J212" s="66" t="s">
        <v>271</v>
      </c>
      <c r="K212" s="6"/>
      <c r="L212" s="6"/>
      <c r="M212" s="116">
        <v>34595</v>
      </c>
      <c r="N212" s="7">
        <f t="shared" si="15"/>
        <v>3902374</v>
      </c>
      <c r="O212" s="86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1"/>
      <c r="AB212" s="14"/>
      <c r="AC212" s="14"/>
      <c r="AD212" s="14"/>
      <c r="AE212" s="14"/>
      <c r="AF212" s="14"/>
      <c r="AG212" s="14"/>
      <c r="AH212" s="14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</row>
    <row r="213" spans="1:54" s="30" customFormat="1" ht="12.75" customHeight="1" x14ac:dyDescent="0.3">
      <c r="A213" s="2"/>
      <c r="B213" s="119">
        <v>1</v>
      </c>
      <c r="C213" s="4"/>
      <c r="D213" s="26"/>
      <c r="E213" s="26"/>
      <c r="F213" s="76">
        <v>45324</v>
      </c>
      <c r="G213" s="114">
        <v>208</v>
      </c>
      <c r="H213" s="5" t="s">
        <v>270</v>
      </c>
      <c r="I213" s="5" t="s">
        <v>418</v>
      </c>
      <c r="J213" s="66" t="s">
        <v>272</v>
      </c>
      <c r="K213" s="6"/>
      <c r="L213" s="6"/>
      <c r="M213" s="116">
        <v>76650</v>
      </c>
      <c r="N213" s="7">
        <f t="shared" si="15"/>
        <v>3979024</v>
      </c>
      <c r="O213" s="86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1"/>
      <c r="AB213" s="14"/>
      <c r="AC213" s="14"/>
      <c r="AD213" s="14"/>
      <c r="AE213" s="14"/>
      <c r="AF213" s="14"/>
      <c r="AG213" s="14"/>
      <c r="AH213" s="14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</row>
    <row r="214" spans="1:54" s="30" customFormat="1" ht="12.75" customHeight="1" x14ac:dyDescent="0.3">
      <c r="A214" s="2"/>
      <c r="B214" s="119">
        <v>1</v>
      </c>
      <c r="C214" s="4"/>
      <c r="D214" s="26"/>
      <c r="E214" s="26"/>
      <c r="F214" s="76">
        <v>45328</v>
      </c>
      <c r="G214" s="114">
        <v>209</v>
      </c>
      <c r="H214" s="5" t="s">
        <v>270</v>
      </c>
      <c r="I214" s="5" t="s">
        <v>418</v>
      </c>
      <c r="J214" s="66" t="s">
        <v>273</v>
      </c>
      <c r="K214" s="6"/>
      <c r="L214" s="6"/>
      <c r="M214" s="116">
        <v>7530</v>
      </c>
      <c r="N214" s="7">
        <f t="shared" si="15"/>
        <v>3986554</v>
      </c>
      <c r="O214" s="86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1"/>
      <c r="AB214" s="14"/>
      <c r="AC214" s="14"/>
      <c r="AD214" s="14"/>
      <c r="AE214" s="14"/>
      <c r="AF214" s="14"/>
      <c r="AG214" s="14"/>
      <c r="AH214" s="14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</row>
    <row r="215" spans="1:54" s="30" customFormat="1" ht="12.75" customHeight="1" x14ac:dyDescent="0.3">
      <c r="A215" s="2"/>
      <c r="B215" s="119">
        <v>1</v>
      </c>
      <c r="C215" s="4"/>
      <c r="D215" s="26"/>
      <c r="E215" s="26"/>
      <c r="F215" s="76">
        <v>45327</v>
      </c>
      <c r="G215" s="114">
        <v>210</v>
      </c>
      <c r="H215" s="5" t="s">
        <v>270</v>
      </c>
      <c r="I215" s="5" t="s">
        <v>418</v>
      </c>
      <c r="J215" s="66" t="s">
        <v>273</v>
      </c>
      <c r="K215" s="6"/>
      <c r="L215" s="6"/>
      <c r="M215" s="116">
        <v>11850</v>
      </c>
      <c r="N215" s="7">
        <f t="shared" si="15"/>
        <v>3998404</v>
      </c>
      <c r="O215" s="86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1"/>
      <c r="AB215" s="14"/>
      <c r="AC215" s="14"/>
      <c r="AD215" s="14"/>
      <c r="AE215" s="14"/>
      <c r="AF215" s="14"/>
      <c r="AG215" s="14"/>
      <c r="AH215" s="14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</row>
    <row r="216" spans="1:54" s="30" customFormat="1" ht="12.75" customHeight="1" x14ac:dyDescent="0.3">
      <c r="A216" s="2"/>
      <c r="B216" s="119">
        <v>1</v>
      </c>
      <c r="C216" s="4"/>
      <c r="D216" s="26"/>
      <c r="E216" s="26"/>
      <c r="F216" s="76">
        <v>45358</v>
      </c>
      <c r="G216" s="114">
        <v>211</v>
      </c>
      <c r="H216" s="5" t="s">
        <v>274</v>
      </c>
      <c r="I216" s="5" t="s">
        <v>418</v>
      </c>
      <c r="J216" s="66" t="s">
        <v>275</v>
      </c>
      <c r="K216" s="6"/>
      <c r="L216" s="6"/>
      <c r="M216" s="116">
        <v>15000</v>
      </c>
      <c r="N216" s="7">
        <f t="shared" si="15"/>
        <v>4013404</v>
      </c>
      <c r="O216" s="86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1"/>
      <c r="AB216" s="14"/>
      <c r="AC216" s="14"/>
      <c r="AD216" s="14"/>
      <c r="AE216" s="14"/>
      <c r="AF216" s="14"/>
      <c r="AG216" s="14"/>
      <c r="AH216" s="14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</row>
    <row r="217" spans="1:54" s="30" customFormat="1" ht="12.75" customHeight="1" x14ac:dyDescent="0.3">
      <c r="A217" s="2"/>
      <c r="B217" s="119">
        <v>1</v>
      </c>
      <c r="C217" s="4"/>
      <c r="D217" s="26"/>
      <c r="E217" s="26"/>
      <c r="F217" s="76">
        <v>45357</v>
      </c>
      <c r="G217" s="114">
        <v>212</v>
      </c>
      <c r="H217" s="5" t="s">
        <v>58</v>
      </c>
      <c r="I217" s="5" t="s">
        <v>418</v>
      </c>
      <c r="J217" s="66" t="s">
        <v>276</v>
      </c>
      <c r="K217" s="6"/>
      <c r="L217" s="6"/>
      <c r="M217" s="116">
        <v>23000</v>
      </c>
      <c r="N217" s="7">
        <f t="shared" si="15"/>
        <v>4036404</v>
      </c>
      <c r="O217" s="86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1"/>
      <c r="AB217" s="14"/>
      <c r="AC217" s="14"/>
      <c r="AD217" s="14"/>
      <c r="AE217" s="14"/>
      <c r="AF217" s="14"/>
      <c r="AG217" s="14"/>
      <c r="AH217" s="14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</row>
    <row r="218" spans="1:54" s="30" customFormat="1" ht="12.75" customHeight="1" x14ac:dyDescent="0.3">
      <c r="A218" s="2"/>
      <c r="B218" s="119">
        <v>1</v>
      </c>
      <c r="C218" s="4"/>
      <c r="D218" s="26"/>
      <c r="E218" s="26"/>
      <c r="F218" s="76">
        <v>45360</v>
      </c>
      <c r="G218" s="114">
        <v>213</v>
      </c>
      <c r="H218" s="5" t="s">
        <v>16</v>
      </c>
      <c r="I218" s="5" t="s">
        <v>418</v>
      </c>
      <c r="J218" s="66" t="s">
        <v>277</v>
      </c>
      <c r="K218" s="6"/>
      <c r="L218" s="6"/>
      <c r="M218" s="116">
        <v>15600</v>
      </c>
      <c r="N218" s="7">
        <f t="shared" si="15"/>
        <v>4052004</v>
      </c>
      <c r="O218" s="86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1"/>
      <c r="AB218" s="14"/>
      <c r="AC218" s="14"/>
      <c r="AD218" s="14"/>
      <c r="AE218" s="14"/>
      <c r="AF218" s="14"/>
      <c r="AG218" s="14"/>
      <c r="AH218" s="14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</row>
    <row r="219" spans="1:54" s="30" customFormat="1" ht="12.75" customHeight="1" x14ac:dyDescent="0.3">
      <c r="A219" s="2"/>
      <c r="B219" s="119">
        <v>1</v>
      </c>
      <c r="C219" s="4"/>
      <c r="D219" s="26"/>
      <c r="E219" s="26"/>
      <c r="F219" s="76">
        <v>45364</v>
      </c>
      <c r="G219" s="114">
        <v>214</v>
      </c>
      <c r="H219" s="5" t="s">
        <v>357</v>
      </c>
      <c r="I219" s="5" t="s">
        <v>357</v>
      </c>
      <c r="J219" s="66" t="s">
        <v>278</v>
      </c>
      <c r="K219" s="6"/>
      <c r="L219" s="6"/>
      <c r="M219" s="116">
        <v>20000</v>
      </c>
      <c r="N219" s="7">
        <f t="shared" si="15"/>
        <v>4072004</v>
      </c>
      <c r="O219" s="86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1"/>
      <c r="AB219" s="14"/>
      <c r="AC219" s="14"/>
      <c r="AD219" s="14"/>
      <c r="AE219" s="14"/>
      <c r="AF219" s="14"/>
      <c r="AG219" s="14"/>
      <c r="AH219" s="14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</row>
    <row r="220" spans="1:54" s="30" customFormat="1" ht="12.75" customHeight="1" x14ac:dyDescent="0.3">
      <c r="A220" s="2"/>
      <c r="B220" s="119">
        <v>1</v>
      </c>
      <c r="C220" s="4"/>
      <c r="D220" s="26"/>
      <c r="E220" s="26"/>
      <c r="F220" s="76">
        <v>45367</v>
      </c>
      <c r="G220" s="114">
        <v>215</v>
      </c>
      <c r="H220" s="5" t="s">
        <v>16</v>
      </c>
      <c r="I220" s="5" t="s">
        <v>418</v>
      </c>
      <c r="J220" s="66" t="s">
        <v>279</v>
      </c>
      <c r="K220" s="6"/>
      <c r="L220" s="6"/>
      <c r="M220" s="116">
        <v>11600</v>
      </c>
      <c r="N220" s="7">
        <f t="shared" si="15"/>
        <v>4083604</v>
      </c>
      <c r="O220" s="86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1"/>
      <c r="AB220" s="14"/>
      <c r="AC220" s="14"/>
      <c r="AD220" s="14"/>
      <c r="AE220" s="14"/>
      <c r="AF220" s="14"/>
      <c r="AG220" s="14"/>
      <c r="AH220" s="14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</row>
    <row r="221" spans="1:54" s="30" customFormat="1" ht="12.75" customHeight="1" x14ac:dyDescent="0.3">
      <c r="A221" s="2"/>
      <c r="B221" s="119">
        <v>1</v>
      </c>
      <c r="C221" s="4"/>
      <c r="D221" s="26"/>
      <c r="E221" s="26"/>
      <c r="F221" s="76">
        <v>45369</v>
      </c>
      <c r="G221" s="114">
        <v>216</v>
      </c>
      <c r="H221" s="5" t="s">
        <v>95</v>
      </c>
      <c r="I221" s="5" t="s">
        <v>418</v>
      </c>
      <c r="J221" s="66" t="s">
        <v>280</v>
      </c>
      <c r="K221" s="6"/>
      <c r="L221" s="6"/>
      <c r="M221" s="116">
        <v>2250</v>
      </c>
      <c r="N221" s="7">
        <f t="shared" si="15"/>
        <v>4085854</v>
      </c>
      <c r="O221" s="86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1"/>
      <c r="AB221" s="14"/>
      <c r="AC221" s="14"/>
      <c r="AD221" s="14"/>
      <c r="AE221" s="14"/>
      <c r="AF221" s="14"/>
      <c r="AG221" s="14"/>
      <c r="AH221" s="14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</row>
    <row r="222" spans="1:54" s="30" customFormat="1" ht="12.75" customHeight="1" x14ac:dyDescent="0.3">
      <c r="A222" s="2"/>
      <c r="B222" s="119">
        <v>1</v>
      </c>
      <c r="C222" s="4"/>
      <c r="D222" s="26"/>
      <c r="E222" s="26"/>
      <c r="F222" s="76">
        <v>45369</v>
      </c>
      <c r="G222" s="114">
        <v>217</v>
      </c>
      <c r="H222" s="5" t="s">
        <v>76</v>
      </c>
      <c r="I222" s="5" t="s">
        <v>418</v>
      </c>
      <c r="J222" s="66" t="s">
        <v>281</v>
      </c>
      <c r="K222" s="6"/>
      <c r="L222" s="6"/>
      <c r="M222" s="116">
        <v>2140</v>
      </c>
      <c r="N222" s="7">
        <f t="shared" si="15"/>
        <v>4087994</v>
      </c>
      <c r="O222" s="86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1"/>
      <c r="AB222" s="14"/>
      <c r="AC222" s="14"/>
      <c r="AD222" s="14"/>
      <c r="AE222" s="14"/>
      <c r="AF222" s="14"/>
      <c r="AG222" s="14"/>
      <c r="AH222" s="14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</row>
    <row r="223" spans="1:54" s="30" customFormat="1" ht="12.75" customHeight="1" x14ac:dyDescent="0.3">
      <c r="A223" s="2"/>
      <c r="B223" s="119">
        <v>1</v>
      </c>
      <c r="C223" s="4"/>
      <c r="D223" s="26"/>
      <c r="E223" s="26"/>
      <c r="F223" s="76">
        <v>45369</v>
      </c>
      <c r="G223" s="114">
        <v>218</v>
      </c>
      <c r="H223" s="5" t="s">
        <v>357</v>
      </c>
      <c r="I223" s="5" t="s">
        <v>357</v>
      </c>
      <c r="J223" s="66" t="s">
        <v>282</v>
      </c>
      <c r="K223" s="6"/>
      <c r="L223" s="6"/>
      <c r="M223" s="116">
        <v>3000</v>
      </c>
      <c r="N223" s="7">
        <f t="shared" si="15"/>
        <v>4090994</v>
      </c>
      <c r="O223" s="86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1"/>
      <c r="AB223" s="14"/>
      <c r="AC223" s="14"/>
      <c r="AD223" s="14"/>
      <c r="AE223" s="14"/>
      <c r="AF223" s="14"/>
      <c r="AG223" s="14"/>
      <c r="AH223" s="14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</row>
    <row r="224" spans="1:54" s="30" customFormat="1" ht="12.75" customHeight="1" x14ac:dyDescent="0.3">
      <c r="A224" s="2"/>
      <c r="B224" s="119">
        <v>1</v>
      </c>
      <c r="C224" s="4"/>
      <c r="D224" s="26"/>
      <c r="E224" s="26"/>
      <c r="F224" s="76">
        <v>45364</v>
      </c>
      <c r="G224" s="114">
        <v>219</v>
      </c>
      <c r="H224" s="5" t="s">
        <v>16</v>
      </c>
      <c r="I224" s="5" t="s">
        <v>418</v>
      </c>
      <c r="J224" s="66" t="s">
        <v>283</v>
      </c>
      <c r="K224" s="6"/>
      <c r="L224" s="6"/>
      <c r="M224" s="116">
        <v>25500</v>
      </c>
      <c r="N224" s="7">
        <f t="shared" si="15"/>
        <v>4116494</v>
      </c>
      <c r="O224" s="86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1"/>
      <c r="AB224" s="14"/>
      <c r="AC224" s="14"/>
      <c r="AD224" s="14"/>
      <c r="AE224" s="14"/>
      <c r="AF224" s="14"/>
      <c r="AG224" s="14"/>
      <c r="AH224" s="14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</row>
    <row r="225" spans="1:54" s="30" customFormat="1" ht="12.75" customHeight="1" x14ac:dyDescent="0.3">
      <c r="A225" s="2"/>
      <c r="B225" s="119">
        <v>1</v>
      </c>
      <c r="C225" s="4"/>
      <c r="D225" s="26"/>
      <c r="E225" s="26"/>
      <c r="F225" s="76">
        <v>45380</v>
      </c>
      <c r="G225" s="114">
        <v>220</v>
      </c>
      <c r="H225" s="5" t="s">
        <v>134</v>
      </c>
      <c r="I225" s="5" t="s">
        <v>418</v>
      </c>
      <c r="J225" s="66" t="s">
        <v>284</v>
      </c>
      <c r="K225" s="6"/>
      <c r="L225" s="6"/>
      <c r="M225" s="116">
        <v>1800</v>
      </c>
      <c r="N225" s="7">
        <f t="shared" si="15"/>
        <v>4118294</v>
      </c>
      <c r="O225" s="86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1"/>
      <c r="AB225" s="14"/>
      <c r="AC225" s="14"/>
      <c r="AD225" s="14"/>
      <c r="AE225" s="14"/>
      <c r="AF225" s="14"/>
      <c r="AG225" s="14"/>
      <c r="AH225" s="14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</row>
    <row r="226" spans="1:54" s="30" customFormat="1" ht="12.75" customHeight="1" x14ac:dyDescent="0.3">
      <c r="A226" s="2"/>
      <c r="B226" s="119">
        <v>1</v>
      </c>
      <c r="C226" s="4"/>
      <c r="D226" s="26"/>
      <c r="E226" s="26"/>
      <c r="F226" s="76">
        <v>45380</v>
      </c>
      <c r="G226" s="114">
        <v>221</v>
      </c>
      <c r="H226" s="5" t="s">
        <v>134</v>
      </c>
      <c r="I226" s="5" t="s">
        <v>418</v>
      </c>
      <c r="J226" s="66" t="s">
        <v>285</v>
      </c>
      <c r="K226" s="6"/>
      <c r="L226" s="6"/>
      <c r="M226" s="116">
        <v>600</v>
      </c>
      <c r="N226" s="7">
        <f t="shared" si="15"/>
        <v>4118894</v>
      </c>
      <c r="O226" s="86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1"/>
      <c r="AB226" s="14"/>
      <c r="AC226" s="14"/>
      <c r="AD226" s="14"/>
      <c r="AE226" s="14"/>
      <c r="AF226" s="14"/>
      <c r="AG226" s="14"/>
      <c r="AH226" s="14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</row>
    <row r="227" spans="1:54" s="30" customFormat="1" ht="12.75" customHeight="1" x14ac:dyDescent="0.3">
      <c r="A227" s="2"/>
      <c r="B227" s="119">
        <v>1</v>
      </c>
      <c r="C227" s="4"/>
      <c r="D227" s="26"/>
      <c r="E227" s="26"/>
      <c r="F227" s="76">
        <v>45379</v>
      </c>
      <c r="G227" s="114">
        <v>222</v>
      </c>
      <c r="H227" s="5" t="s">
        <v>76</v>
      </c>
      <c r="I227" s="5" t="s">
        <v>418</v>
      </c>
      <c r="J227" s="66" t="s">
        <v>286</v>
      </c>
      <c r="K227" s="6"/>
      <c r="L227" s="6"/>
      <c r="M227" s="116">
        <v>1100</v>
      </c>
      <c r="N227" s="7">
        <f t="shared" si="15"/>
        <v>4119994</v>
      </c>
      <c r="O227" s="86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1"/>
      <c r="AB227" s="14"/>
      <c r="AC227" s="14"/>
      <c r="AD227" s="14"/>
      <c r="AE227" s="14"/>
      <c r="AF227" s="14"/>
      <c r="AG227" s="14"/>
      <c r="AH227" s="14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</row>
    <row r="228" spans="1:54" s="30" customFormat="1" ht="12.75" customHeight="1" x14ac:dyDescent="0.3">
      <c r="A228" s="2"/>
      <c r="B228" s="119">
        <v>1</v>
      </c>
      <c r="C228" s="4"/>
      <c r="D228" s="26"/>
      <c r="E228" s="26"/>
      <c r="F228" s="76">
        <v>45379</v>
      </c>
      <c r="G228" s="114">
        <v>223</v>
      </c>
      <c r="H228" s="5" t="s">
        <v>76</v>
      </c>
      <c r="I228" s="5" t="s">
        <v>418</v>
      </c>
      <c r="J228" s="66" t="s">
        <v>287</v>
      </c>
      <c r="K228" s="6"/>
      <c r="L228" s="6"/>
      <c r="M228" s="116">
        <v>18470</v>
      </c>
      <c r="N228" s="7">
        <f t="shared" si="15"/>
        <v>4138464</v>
      </c>
      <c r="O228" s="86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1"/>
      <c r="AB228" s="14"/>
      <c r="AC228" s="14"/>
      <c r="AD228" s="14"/>
      <c r="AE228" s="14"/>
      <c r="AF228" s="14"/>
      <c r="AG228" s="14"/>
      <c r="AH228" s="14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</row>
    <row r="229" spans="1:54" s="30" customFormat="1" ht="12.75" customHeight="1" x14ac:dyDescent="0.3">
      <c r="A229" s="2"/>
      <c r="B229" s="119">
        <v>1</v>
      </c>
      <c r="C229" s="4"/>
      <c r="D229" s="26"/>
      <c r="E229" s="26"/>
      <c r="F229" s="76">
        <v>45377</v>
      </c>
      <c r="G229" s="114">
        <v>224</v>
      </c>
      <c r="H229" s="5" t="s">
        <v>76</v>
      </c>
      <c r="I229" s="5" t="s">
        <v>418</v>
      </c>
      <c r="J229" s="66" t="s">
        <v>288</v>
      </c>
      <c r="K229" s="6"/>
      <c r="L229" s="6"/>
      <c r="M229" s="116">
        <v>460</v>
      </c>
      <c r="N229" s="7">
        <f t="shared" si="15"/>
        <v>4138924</v>
      </c>
      <c r="O229" s="86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1"/>
      <c r="AB229" s="14"/>
      <c r="AC229" s="14"/>
      <c r="AD229" s="14"/>
      <c r="AE229" s="14"/>
      <c r="AF229" s="14"/>
      <c r="AG229" s="14"/>
      <c r="AH229" s="14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</row>
    <row r="230" spans="1:54" s="30" customFormat="1" ht="12.75" customHeight="1" x14ac:dyDescent="0.3">
      <c r="A230" s="2"/>
      <c r="B230" s="119">
        <v>1</v>
      </c>
      <c r="C230" s="4"/>
      <c r="D230" s="26"/>
      <c r="E230" s="26"/>
      <c r="F230" s="76">
        <v>45379</v>
      </c>
      <c r="G230" s="114">
        <v>225</v>
      </c>
      <c r="H230" s="5" t="s">
        <v>8</v>
      </c>
      <c r="I230" s="5" t="s">
        <v>418</v>
      </c>
      <c r="J230" s="66" t="s">
        <v>289</v>
      </c>
      <c r="K230" s="6"/>
      <c r="L230" s="6"/>
      <c r="M230" s="116">
        <v>4500</v>
      </c>
      <c r="N230" s="7">
        <f t="shared" si="15"/>
        <v>4143424</v>
      </c>
      <c r="O230" s="86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1"/>
      <c r="AB230" s="14"/>
      <c r="AC230" s="14"/>
      <c r="AD230" s="14"/>
      <c r="AE230" s="14"/>
      <c r="AF230" s="14"/>
      <c r="AG230" s="14"/>
      <c r="AH230" s="14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</row>
    <row r="231" spans="1:54" s="30" customFormat="1" ht="12.75" customHeight="1" x14ac:dyDescent="0.3">
      <c r="A231" s="2"/>
      <c r="B231" s="119">
        <v>1</v>
      </c>
      <c r="C231" s="4"/>
      <c r="D231" s="26"/>
      <c r="E231" s="26"/>
      <c r="F231" s="76">
        <v>45376</v>
      </c>
      <c r="G231" s="114">
        <v>226</v>
      </c>
      <c r="H231" s="5" t="s">
        <v>134</v>
      </c>
      <c r="I231" s="5" t="s">
        <v>418</v>
      </c>
      <c r="J231" s="66" t="s">
        <v>290</v>
      </c>
      <c r="K231" s="6"/>
      <c r="L231" s="6"/>
      <c r="M231" s="116">
        <v>14189</v>
      </c>
      <c r="N231" s="7">
        <f t="shared" si="15"/>
        <v>4157613</v>
      </c>
      <c r="O231" s="86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1"/>
      <c r="AB231" s="14"/>
      <c r="AC231" s="14"/>
      <c r="AD231" s="14"/>
      <c r="AE231" s="14"/>
      <c r="AF231" s="14"/>
      <c r="AG231" s="14"/>
      <c r="AH231" s="14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</row>
    <row r="232" spans="1:54" s="30" customFormat="1" ht="12.75" customHeight="1" x14ac:dyDescent="0.3">
      <c r="A232" s="2"/>
      <c r="B232" s="119">
        <v>1</v>
      </c>
      <c r="C232" s="4"/>
      <c r="D232" s="26"/>
      <c r="E232" s="26"/>
      <c r="F232" s="76">
        <v>45377</v>
      </c>
      <c r="G232" s="114">
        <v>227</v>
      </c>
      <c r="H232" s="5" t="s">
        <v>134</v>
      </c>
      <c r="I232" s="5" t="s">
        <v>418</v>
      </c>
      <c r="J232" s="66" t="s">
        <v>291</v>
      </c>
      <c r="K232" s="6"/>
      <c r="L232" s="6"/>
      <c r="M232" s="116">
        <v>15841</v>
      </c>
      <c r="N232" s="7">
        <f t="shared" si="15"/>
        <v>4173454</v>
      </c>
      <c r="O232" s="86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1"/>
      <c r="AB232" s="14"/>
      <c r="AC232" s="14"/>
      <c r="AD232" s="14"/>
      <c r="AE232" s="14"/>
      <c r="AF232" s="14"/>
      <c r="AG232" s="14"/>
      <c r="AH232" s="14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</row>
    <row r="233" spans="1:54" s="30" customFormat="1" ht="12.75" customHeight="1" x14ac:dyDescent="0.3">
      <c r="A233" s="2"/>
      <c r="B233" s="119">
        <v>1</v>
      </c>
      <c r="C233" s="4"/>
      <c r="D233" s="26"/>
      <c r="E233" s="26"/>
      <c r="F233" s="76">
        <v>45378</v>
      </c>
      <c r="G233" s="114">
        <v>228</v>
      </c>
      <c r="H233" s="5" t="s">
        <v>16</v>
      </c>
      <c r="I233" s="5" t="s">
        <v>418</v>
      </c>
      <c r="J233" s="66" t="s">
        <v>292</v>
      </c>
      <c r="K233" s="6"/>
      <c r="L233" s="6"/>
      <c r="M233" s="116">
        <v>5000</v>
      </c>
      <c r="N233" s="7">
        <f t="shared" si="15"/>
        <v>4178454</v>
      </c>
      <c r="O233" s="86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1"/>
      <c r="AB233" s="14"/>
      <c r="AC233" s="14"/>
      <c r="AD233" s="14"/>
      <c r="AE233" s="14"/>
      <c r="AF233" s="14"/>
      <c r="AG233" s="14"/>
      <c r="AH233" s="14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</row>
    <row r="234" spans="1:54" s="30" customFormat="1" ht="12.75" customHeight="1" x14ac:dyDescent="0.3">
      <c r="A234" s="2"/>
      <c r="B234" s="119">
        <v>1</v>
      </c>
      <c r="C234" s="4"/>
      <c r="D234" s="26"/>
      <c r="E234" s="26"/>
      <c r="F234" s="76">
        <v>45379</v>
      </c>
      <c r="G234" s="114">
        <v>229</v>
      </c>
      <c r="H234" s="5" t="s">
        <v>293</v>
      </c>
      <c r="I234" s="5" t="s">
        <v>418</v>
      </c>
      <c r="J234" s="66" t="s">
        <v>294</v>
      </c>
      <c r="K234" s="6"/>
      <c r="L234" s="6"/>
      <c r="M234" s="116">
        <v>415065</v>
      </c>
      <c r="N234" s="7">
        <f t="shared" si="15"/>
        <v>4593519</v>
      </c>
      <c r="O234" s="86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1"/>
      <c r="AB234" s="14"/>
      <c r="AC234" s="14"/>
      <c r="AD234" s="14"/>
      <c r="AE234" s="14"/>
      <c r="AF234" s="14"/>
      <c r="AG234" s="14"/>
      <c r="AH234" s="14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</row>
    <row r="235" spans="1:54" s="30" customFormat="1" ht="12.75" customHeight="1" x14ac:dyDescent="0.3">
      <c r="A235" s="2"/>
      <c r="B235" s="119">
        <v>1</v>
      </c>
      <c r="C235" s="4"/>
      <c r="D235" s="26"/>
      <c r="E235" s="26"/>
      <c r="F235" s="76">
        <v>45381</v>
      </c>
      <c r="G235" s="114">
        <v>230</v>
      </c>
      <c r="H235" s="5" t="s">
        <v>16</v>
      </c>
      <c r="I235" s="5" t="s">
        <v>418</v>
      </c>
      <c r="J235" s="66" t="s">
        <v>295</v>
      </c>
      <c r="K235" s="6"/>
      <c r="L235" s="6"/>
      <c r="M235" s="116">
        <v>78475</v>
      </c>
      <c r="N235" s="7">
        <f t="shared" si="15"/>
        <v>4671994</v>
      </c>
      <c r="O235" s="86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1"/>
      <c r="AB235" s="14"/>
      <c r="AC235" s="14"/>
      <c r="AD235" s="14"/>
      <c r="AE235" s="14"/>
      <c r="AF235" s="14"/>
      <c r="AG235" s="14"/>
      <c r="AH235" s="14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</row>
    <row r="236" spans="1:54" s="30" customFormat="1" ht="12.75" customHeight="1" x14ac:dyDescent="0.3">
      <c r="A236" s="2"/>
      <c r="B236" s="119">
        <v>1</v>
      </c>
      <c r="C236" s="4"/>
      <c r="D236" s="26"/>
      <c r="E236" s="26"/>
      <c r="F236" s="76">
        <v>45376</v>
      </c>
      <c r="G236" s="114">
        <v>231</v>
      </c>
      <c r="H236" s="5" t="s">
        <v>296</v>
      </c>
      <c r="I236" s="5" t="s">
        <v>418</v>
      </c>
      <c r="J236" s="66" t="s">
        <v>297</v>
      </c>
      <c r="K236" s="6"/>
      <c r="L236" s="6"/>
      <c r="M236" s="116">
        <v>800</v>
      </c>
      <c r="N236" s="7">
        <f t="shared" si="15"/>
        <v>4672794</v>
      </c>
      <c r="O236" s="86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1"/>
      <c r="AB236" s="14"/>
      <c r="AC236" s="14"/>
      <c r="AD236" s="14"/>
      <c r="AE236" s="14"/>
      <c r="AF236" s="14"/>
      <c r="AG236" s="14"/>
      <c r="AH236" s="14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</row>
    <row r="237" spans="1:54" s="30" customFormat="1" ht="12.75" customHeight="1" x14ac:dyDescent="0.3">
      <c r="A237" s="2"/>
      <c r="B237" s="119">
        <v>1</v>
      </c>
      <c r="C237" s="4"/>
      <c r="D237" s="26"/>
      <c r="E237" s="26"/>
      <c r="F237" s="76">
        <v>45384</v>
      </c>
      <c r="G237" s="114">
        <v>232</v>
      </c>
      <c r="H237" s="5" t="s">
        <v>357</v>
      </c>
      <c r="I237" s="5" t="s">
        <v>357</v>
      </c>
      <c r="J237" s="66" t="s">
        <v>298</v>
      </c>
      <c r="K237" s="6"/>
      <c r="L237" s="6"/>
      <c r="M237" s="116">
        <v>3000</v>
      </c>
      <c r="N237" s="7">
        <f t="shared" si="15"/>
        <v>4675794</v>
      </c>
      <c r="O237" s="86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1"/>
      <c r="AB237" s="14"/>
      <c r="AC237" s="14"/>
      <c r="AD237" s="14"/>
      <c r="AE237" s="14"/>
      <c r="AF237" s="14"/>
      <c r="AG237" s="14"/>
      <c r="AH237" s="14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</row>
    <row r="238" spans="1:54" s="30" customFormat="1" ht="12.75" customHeight="1" x14ac:dyDescent="0.3">
      <c r="A238" s="2"/>
      <c r="B238" s="119">
        <v>1</v>
      </c>
      <c r="C238" s="4"/>
      <c r="D238" s="26"/>
      <c r="E238" s="26"/>
      <c r="F238" s="76">
        <v>45384</v>
      </c>
      <c r="G238" s="114">
        <v>233</v>
      </c>
      <c r="H238" s="5" t="s">
        <v>215</v>
      </c>
      <c r="I238" s="5" t="s">
        <v>418</v>
      </c>
      <c r="J238" s="66" t="s">
        <v>299</v>
      </c>
      <c r="K238" s="6"/>
      <c r="L238" s="6"/>
      <c r="M238" s="116">
        <v>53750</v>
      </c>
      <c r="N238" s="7">
        <f t="shared" si="15"/>
        <v>4729544</v>
      </c>
      <c r="O238" s="86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1"/>
      <c r="AB238" s="14"/>
      <c r="AC238" s="14"/>
      <c r="AD238" s="14"/>
      <c r="AE238" s="14"/>
      <c r="AF238" s="14"/>
      <c r="AG238" s="14"/>
      <c r="AH238" s="14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</row>
    <row r="239" spans="1:54" s="30" customFormat="1" ht="12.75" customHeight="1" x14ac:dyDescent="0.3">
      <c r="A239" s="2"/>
      <c r="B239" s="119">
        <v>1</v>
      </c>
      <c r="C239" s="4"/>
      <c r="D239" s="26"/>
      <c r="E239" s="26"/>
      <c r="F239" s="76">
        <v>45384</v>
      </c>
      <c r="G239" s="114">
        <v>234</v>
      </c>
      <c r="H239" s="5" t="s">
        <v>300</v>
      </c>
      <c r="I239" s="5" t="s">
        <v>418</v>
      </c>
      <c r="J239" s="66" t="s">
        <v>301</v>
      </c>
      <c r="K239" s="6"/>
      <c r="L239" s="6"/>
      <c r="M239" s="116">
        <v>3600</v>
      </c>
      <c r="N239" s="7">
        <f t="shared" si="15"/>
        <v>4733144</v>
      </c>
      <c r="O239" s="86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1"/>
      <c r="AB239" s="14"/>
      <c r="AC239" s="14"/>
      <c r="AD239" s="14"/>
      <c r="AE239" s="14"/>
      <c r="AF239" s="14"/>
      <c r="AG239" s="14"/>
      <c r="AH239" s="14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</row>
    <row r="240" spans="1:54" s="30" customFormat="1" ht="12.75" customHeight="1" x14ac:dyDescent="0.3">
      <c r="A240" s="2"/>
      <c r="B240" s="119">
        <v>1</v>
      </c>
      <c r="C240" s="4"/>
      <c r="D240" s="26"/>
      <c r="E240" s="26"/>
      <c r="F240" s="76">
        <v>45383</v>
      </c>
      <c r="G240" s="114">
        <v>235</v>
      </c>
      <c r="H240" s="5" t="s">
        <v>302</v>
      </c>
      <c r="I240" s="5" t="s">
        <v>418</v>
      </c>
      <c r="J240" s="66" t="s">
        <v>303</v>
      </c>
      <c r="K240" s="6"/>
      <c r="L240" s="6"/>
      <c r="M240" s="116">
        <v>10250</v>
      </c>
      <c r="N240" s="7">
        <f t="shared" si="15"/>
        <v>4743394</v>
      </c>
      <c r="O240" s="86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1"/>
      <c r="AB240" s="14"/>
      <c r="AC240" s="14"/>
      <c r="AD240" s="14"/>
      <c r="AE240" s="14"/>
      <c r="AF240" s="14"/>
      <c r="AG240" s="14"/>
      <c r="AH240" s="14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</row>
    <row r="241" spans="1:54" s="30" customFormat="1" ht="12.75" customHeight="1" x14ac:dyDescent="0.3">
      <c r="A241" s="2"/>
      <c r="B241" s="119">
        <v>1</v>
      </c>
      <c r="C241" s="4"/>
      <c r="D241" s="26"/>
      <c r="E241" s="26"/>
      <c r="F241" s="76">
        <v>45385</v>
      </c>
      <c r="G241" s="114">
        <v>236</v>
      </c>
      <c r="H241" s="5" t="s">
        <v>304</v>
      </c>
      <c r="I241" s="5" t="s">
        <v>418</v>
      </c>
      <c r="J241" s="66" t="s">
        <v>305</v>
      </c>
      <c r="K241" s="6"/>
      <c r="L241" s="6"/>
      <c r="M241" s="116">
        <v>5000</v>
      </c>
      <c r="N241" s="7">
        <f t="shared" si="15"/>
        <v>4748394</v>
      </c>
      <c r="O241" s="86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1"/>
      <c r="AB241" s="14"/>
      <c r="AC241" s="14"/>
      <c r="AD241" s="14"/>
      <c r="AE241" s="14"/>
      <c r="AF241" s="14"/>
      <c r="AG241" s="14"/>
      <c r="AH241" s="14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</row>
    <row r="242" spans="1:54" s="30" customFormat="1" ht="12.75" customHeight="1" x14ac:dyDescent="0.3">
      <c r="A242" s="2"/>
      <c r="B242" s="119">
        <v>1</v>
      </c>
      <c r="C242" s="4"/>
      <c r="D242" s="26"/>
      <c r="E242" s="26"/>
      <c r="F242" s="76">
        <v>45384</v>
      </c>
      <c r="G242" s="114">
        <v>237</v>
      </c>
      <c r="H242" s="5" t="s">
        <v>169</v>
      </c>
      <c r="I242" s="5" t="s">
        <v>418</v>
      </c>
      <c r="J242" s="66" t="s">
        <v>306</v>
      </c>
      <c r="K242" s="6"/>
      <c r="L242" s="6"/>
      <c r="M242" s="116">
        <v>45000</v>
      </c>
      <c r="N242" s="7">
        <f t="shared" si="15"/>
        <v>4793394</v>
      </c>
      <c r="O242" s="86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1"/>
      <c r="AB242" s="14"/>
      <c r="AC242" s="14"/>
      <c r="AD242" s="14"/>
      <c r="AE242" s="14"/>
      <c r="AF242" s="14"/>
      <c r="AG242" s="14"/>
      <c r="AH242" s="14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</row>
    <row r="243" spans="1:54" s="30" customFormat="1" ht="12.75" customHeight="1" x14ac:dyDescent="0.3">
      <c r="A243" s="2"/>
      <c r="B243" s="119">
        <v>1</v>
      </c>
      <c r="C243" s="4"/>
      <c r="D243" s="26"/>
      <c r="E243" s="26"/>
      <c r="F243" s="76">
        <v>45385</v>
      </c>
      <c r="G243" s="114">
        <v>238</v>
      </c>
      <c r="H243" s="5" t="s">
        <v>206</v>
      </c>
      <c r="I243" s="5" t="s">
        <v>418</v>
      </c>
      <c r="J243" s="66" t="s">
        <v>307</v>
      </c>
      <c r="K243" s="6"/>
      <c r="L243" s="6"/>
      <c r="M243" s="116">
        <v>6050</v>
      </c>
      <c r="N243" s="7">
        <f t="shared" si="15"/>
        <v>4799444</v>
      </c>
      <c r="O243" s="86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1"/>
      <c r="AB243" s="14"/>
      <c r="AC243" s="14"/>
      <c r="AD243" s="14"/>
      <c r="AE243" s="14"/>
      <c r="AF243" s="14"/>
      <c r="AG243" s="14"/>
      <c r="AH243" s="14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</row>
    <row r="244" spans="1:54" s="30" customFormat="1" ht="12.75" customHeight="1" x14ac:dyDescent="0.3">
      <c r="A244" s="2"/>
      <c r="B244" s="119">
        <v>1</v>
      </c>
      <c r="C244" s="4"/>
      <c r="D244" s="26"/>
      <c r="E244" s="26"/>
      <c r="F244" s="76">
        <v>45387</v>
      </c>
      <c r="G244" s="114">
        <v>239</v>
      </c>
      <c r="H244" s="5" t="s">
        <v>296</v>
      </c>
      <c r="I244" s="5" t="s">
        <v>418</v>
      </c>
      <c r="J244" s="66" t="s">
        <v>308</v>
      </c>
      <c r="K244" s="6"/>
      <c r="L244" s="6"/>
      <c r="M244" s="116">
        <v>350</v>
      </c>
      <c r="N244" s="7">
        <f t="shared" si="15"/>
        <v>4799794</v>
      </c>
      <c r="O244" s="86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1"/>
      <c r="AB244" s="14"/>
      <c r="AC244" s="14"/>
      <c r="AD244" s="14"/>
      <c r="AE244" s="14"/>
      <c r="AF244" s="14"/>
      <c r="AG244" s="14"/>
      <c r="AH244" s="14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</row>
    <row r="245" spans="1:54" s="30" customFormat="1" ht="12.75" customHeight="1" x14ac:dyDescent="0.3">
      <c r="A245" s="2"/>
      <c r="B245" s="119">
        <v>1</v>
      </c>
      <c r="C245" s="4"/>
      <c r="D245" s="26"/>
      <c r="E245" s="26"/>
      <c r="F245" s="76">
        <v>45385</v>
      </c>
      <c r="G245" s="114">
        <v>239</v>
      </c>
      <c r="H245" s="5" t="s">
        <v>309</v>
      </c>
      <c r="I245" s="5" t="s">
        <v>418</v>
      </c>
      <c r="J245" s="66" t="s">
        <v>310</v>
      </c>
      <c r="K245" s="6"/>
      <c r="L245" s="6"/>
      <c r="M245" s="116">
        <v>71218</v>
      </c>
      <c r="N245" s="7">
        <f t="shared" si="15"/>
        <v>4871012</v>
      </c>
      <c r="O245" s="86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1"/>
      <c r="AB245" s="14"/>
      <c r="AC245" s="14"/>
      <c r="AD245" s="14"/>
      <c r="AE245" s="14"/>
      <c r="AF245" s="14"/>
      <c r="AG245" s="14"/>
      <c r="AH245" s="14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</row>
    <row r="246" spans="1:54" s="30" customFormat="1" ht="12.75" customHeight="1" x14ac:dyDescent="0.3">
      <c r="A246" s="2"/>
      <c r="B246" s="119">
        <v>1</v>
      </c>
      <c r="C246" s="4"/>
      <c r="D246" s="26"/>
      <c r="E246" s="26"/>
      <c r="F246" s="76">
        <v>45387</v>
      </c>
      <c r="G246" s="114">
        <v>240</v>
      </c>
      <c r="H246" s="5" t="s">
        <v>357</v>
      </c>
      <c r="I246" s="5" t="s">
        <v>357</v>
      </c>
      <c r="J246" s="66" t="s">
        <v>311</v>
      </c>
      <c r="K246" s="6"/>
      <c r="L246" s="6"/>
      <c r="M246" s="116">
        <v>5000</v>
      </c>
      <c r="N246" s="7">
        <f t="shared" si="15"/>
        <v>4876012</v>
      </c>
      <c r="O246" s="86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1"/>
      <c r="AB246" s="14"/>
      <c r="AC246" s="14"/>
      <c r="AD246" s="14"/>
      <c r="AE246" s="14"/>
      <c r="AF246" s="14"/>
      <c r="AG246" s="14"/>
      <c r="AH246" s="14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</row>
    <row r="247" spans="1:54" s="30" customFormat="1" ht="12.75" customHeight="1" x14ac:dyDescent="0.3">
      <c r="A247" s="2"/>
      <c r="B247" s="119">
        <v>1</v>
      </c>
      <c r="C247" s="4"/>
      <c r="D247" s="26"/>
      <c r="E247" s="26"/>
      <c r="F247" s="76">
        <v>45385</v>
      </c>
      <c r="G247" s="114">
        <v>241</v>
      </c>
      <c r="H247" s="5" t="s">
        <v>357</v>
      </c>
      <c r="I247" s="5" t="s">
        <v>357</v>
      </c>
      <c r="J247" s="66" t="s">
        <v>312</v>
      </c>
      <c r="K247" s="6"/>
      <c r="L247" s="6"/>
      <c r="M247" s="116">
        <v>2500</v>
      </c>
      <c r="N247" s="7">
        <f t="shared" si="15"/>
        <v>4878512</v>
      </c>
      <c r="O247" s="86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1"/>
      <c r="AB247" s="14"/>
      <c r="AC247" s="14"/>
      <c r="AD247" s="14"/>
      <c r="AE247" s="14"/>
      <c r="AF247" s="14"/>
      <c r="AG247" s="14"/>
      <c r="AH247" s="14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</row>
    <row r="248" spans="1:54" s="30" customFormat="1" ht="12.75" customHeight="1" x14ac:dyDescent="0.3">
      <c r="A248" s="2"/>
      <c r="B248" s="119">
        <v>1</v>
      </c>
      <c r="C248" s="4"/>
      <c r="D248" s="26"/>
      <c r="E248" s="26"/>
      <c r="F248" s="76">
        <v>45387</v>
      </c>
      <c r="G248" s="114">
        <v>242</v>
      </c>
      <c r="H248" s="5" t="s">
        <v>304</v>
      </c>
      <c r="I248" s="5" t="s">
        <v>418</v>
      </c>
      <c r="J248" s="66" t="s">
        <v>312</v>
      </c>
      <c r="K248" s="6"/>
      <c r="L248" s="6"/>
      <c r="M248" s="116">
        <v>10000</v>
      </c>
      <c r="N248" s="7">
        <f t="shared" si="15"/>
        <v>4888512</v>
      </c>
      <c r="O248" s="86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1"/>
      <c r="AB248" s="14"/>
      <c r="AC248" s="14"/>
      <c r="AD248" s="14"/>
      <c r="AE248" s="14"/>
      <c r="AF248" s="14"/>
      <c r="AG248" s="14"/>
      <c r="AH248" s="14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</row>
    <row r="249" spans="1:54" s="30" customFormat="1" ht="12.75" customHeight="1" x14ac:dyDescent="0.3">
      <c r="A249" s="2"/>
      <c r="B249" s="119">
        <v>1</v>
      </c>
      <c r="C249" s="4"/>
      <c r="D249" s="26"/>
      <c r="E249" s="26"/>
      <c r="F249" s="76">
        <v>45388</v>
      </c>
      <c r="G249" s="114">
        <v>243</v>
      </c>
      <c r="H249" s="5" t="s">
        <v>76</v>
      </c>
      <c r="I249" s="5" t="s">
        <v>418</v>
      </c>
      <c r="J249" s="66" t="s">
        <v>313</v>
      </c>
      <c r="K249" s="6"/>
      <c r="L249" s="6"/>
      <c r="M249" s="116">
        <v>450</v>
      </c>
      <c r="N249" s="7">
        <f t="shared" si="15"/>
        <v>4888962</v>
      </c>
      <c r="O249" s="86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1"/>
      <c r="AB249" s="14"/>
      <c r="AC249" s="14"/>
      <c r="AD249" s="14"/>
      <c r="AE249" s="14"/>
      <c r="AF249" s="14"/>
      <c r="AG249" s="14"/>
      <c r="AH249" s="14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</row>
    <row r="250" spans="1:54" s="30" customFormat="1" ht="12.75" customHeight="1" x14ac:dyDescent="0.3">
      <c r="A250" s="2"/>
      <c r="B250" s="119">
        <v>1</v>
      </c>
      <c r="C250" s="4"/>
      <c r="D250" s="26"/>
      <c r="E250" s="26"/>
      <c r="F250" s="76">
        <v>45388</v>
      </c>
      <c r="G250" s="114">
        <v>244</v>
      </c>
      <c r="H250" s="5" t="s">
        <v>314</v>
      </c>
      <c r="I250" s="5" t="s">
        <v>418</v>
      </c>
      <c r="J250" s="66" t="s">
        <v>315</v>
      </c>
      <c r="K250" s="6"/>
      <c r="L250" s="6"/>
      <c r="M250" s="116">
        <v>4500</v>
      </c>
      <c r="N250" s="7">
        <f t="shared" si="15"/>
        <v>4893462</v>
      </c>
      <c r="O250" s="86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1"/>
      <c r="AB250" s="14"/>
      <c r="AC250" s="14"/>
      <c r="AD250" s="14"/>
      <c r="AE250" s="14"/>
      <c r="AF250" s="14"/>
      <c r="AG250" s="14"/>
      <c r="AH250" s="14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</row>
    <row r="251" spans="1:54" s="30" customFormat="1" ht="12.75" customHeight="1" x14ac:dyDescent="0.3">
      <c r="A251" s="2"/>
      <c r="B251" s="119">
        <v>1</v>
      </c>
      <c r="C251" s="4"/>
      <c r="D251" s="26"/>
      <c r="E251" s="26"/>
      <c r="F251" s="76">
        <v>45388</v>
      </c>
      <c r="G251" s="114">
        <v>245</v>
      </c>
      <c r="H251" s="5" t="s">
        <v>316</v>
      </c>
      <c r="I251" s="5" t="s">
        <v>418</v>
      </c>
      <c r="J251" s="66" t="s">
        <v>317</v>
      </c>
      <c r="K251" s="6"/>
      <c r="L251" s="6"/>
      <c r="M251" s="116">
        <v>1500</v>
      </c>
      <c r="N251" s="7">
        <f t="shared" ref="N251:N261" si="16">M251+N250</f>
        <v>4894962</v>
      </c>
      <c r="O251" s="86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1"/>
      <c r="AB251" s="14"/>
      <c r="AC251" s="14"/>
      <c r="AD251" s="14"/>
      <c r="AE251" s="14"/>
      <c r="AF251" s="14"/>
      <c r="AG251" s="14"/>
      <c r="AH251" s="14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</row>
    <row r="252" spans="1:54" s="30" customFormat="1" ht="12.75" customHeight="1" x14ac:dyDescent="0.3">
      <c r="A252" s="2"/>
      <c r="B252" s="119">
        <v>1</v>
      </c>
      <c r="C252" s="4"/>
      <c r="D252" s="26"/>
      <c r="E252" s="26"/>
      <c r="F252" s="76">
        <v>45388</v>
      </c>
      <c r="G252" s="114">
        <v>246</v>
      </c>
      <c r="H252" s="5" t="s">
        <v>16</v>
      </c>
      <c r="I252" s="5" t="s">
        <v>418</v>
      </c>
      <c r="J252" s="66" t="s">
        <v>318</v>
      </c>
      <c r="K252" s="6"/>
      <c r="L252" s="6"/>
      <c r="M252" s="116">
        <v>78285</v>
      </c>
      <c r="N252" s="7">
        <f t="shared" si="16"/>
        <v>4973247</v>
      </c>
      <c r="O252" s="86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1"/>
      <c r="AB252" s="14"/>
      <c r="AC252" s="14"/>
      <c r="AD252" s="14"/>
      <c r="AE252" s="14"/>
      <c r="AF252" s="14"/>
      <c r="AG252" s="14"/>
      <c r="AH252" s="14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</row>
    <row r="253" spans="1:54" s="30" customFormat="1" ht="12.75" customHeight="1" x14ac:dyDescent="0.3">
      <c r="A253" s="2"/>
      <c r="B253" s="119">
        <v>1</v>
      </c>
      <c r="C253" s="4"/>
      <c r="D253" s="26"/>
      <c r="E253" s="26"/>
      <c r="F253" s="76">
        <v>45389</v>
      </c>
      <c r="G253" s="114">
        <v>247</v>
      </c>
      <c r="H253" s="5" t="s">
        <v>76</v>
      </c>
      <c r="I253" s="5" t="s">
        <v>418</v>
      </c>
      <c r="J253" s="66" t="s">
        <v>319</v>
      </c>
      <c r="K253" s="6"/>
      <c r="L253" s="6"/>
      <c r="M253" s="116">
        <v>1500</v>
      </c>
      <c r="N253" s="7">
        <f t="shared" si="16"/>
        <v>4974747</v>
      </c>
      <c r="O253" s="86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1"/>
      <c r="AB253" s="14"/>
      <c r="AC253" s="14"/>
      <c r="AD253" s="14"/>
      <c r="AE253" s="14"/>
      <c r="AF253" s="14"/>
      <c r="AG253" s="14"/>
      <c r="AH253" s="14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</row>
    <row r="254" spans="1:54" s="30" customFormat="1" ht="12.75" customHeight="1" x14ac:dyDescent="0.3">
      <c r="A254" s="2"/>
      <c r="B254" s="119">
        <v>1</v>
      </c>
      <c r="C254" s="4"/>
      <c r="D254" s="26"/>
      <c r="E254" s="26"/>
      <c r="F254" s="76">
        <v>45389</v>
      </c>
      <c r="G254" s="114">
        <v>248</v>
      </c>
      <c r="H254" s="5" t="s">
        <v>76</v>
      </c>
      <c r="I254" s="5" t="s">
        <v>418</v>
      </c>
      <c r="J254" s="66" t="s">
        <v>320</v>
      </c>
      <c r="K254" s="6"/>
      <c r="L254" s="6"/>
      <c r="M254" s="116">
        <v>600</v>
      </c>
      <c r="N254" s="7">
        <f t="shared" si="16"/>
        <v>4975347</v>
      </c>
      <c r="O254" s="86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1"/>
      <c r="AB254" s="14"/>
      <c r="AC254" s="14"/>
      <c r="AD254" s="14"/>
      <c r="AE254" s="14"/>
      <c r="AF254" s="14"/>
      <c r="AG254" s="14"/>
      <c r="AH254" s="14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</row>
    <row r="255" spans="1:54" s="30" customFormat="1" ht="12.75" customHeight="1" x14ac:dyDescent="0.3">
      <c r="A255" s="2"/>
      <c r="B255" s="119">
        <v>1</v>
      </c>
      <c r="C255" s="4"/>
      <c r="D255" s="26"/>
      <c r="E255" s="26"/>
      <c r="F255" s="76">
        <v>45388</v>
      </c>
      <c r="G255" s="114">
        <v>249</v>
      </c>
      <c r="H255" s="5" t="s">
        <v>304</v>
      </c>
      <c r="I255" s="5" t="s">
        <v>418</v>
      </c>
      <c r="J255" s="66" t="s">
        <v>321</v>
      </c>
      <c r="K255" s="6"/>
      <c r="L255" s="6"/>
      <c r="M255" s="116">
        <v>10000</v>
      </c>
      <c r="N255" s="7">
        <f t="shared" si="16"/>
        <v>4985347</v>
      </c>
      <c r="O255" s="86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1"/>
      <c r="AB255" s="14"/>
      <c r="AC255" s="14"/>
      <c r="AD255" s="14"/>
      <c r="AE255" s="14"/>
      <c r="AF255" s="14"/>
      <c r="AG255" s="14"/>
      <c r="AH255" s="14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</row>
    <row r="256" spans="1:54" s="30" customFormat="1" ht="12.75" customHeight="1" x14ac:dyDescent="0.3">
      <c r="A256" s="2"/>
      <c r="B256" s="119">
        <v>1</v>
      </c>
      <c r="C256" s="4"/>
      <c r="D256" s="26"/>
      <c r="E256" s="26"/>
      <c r="F256" s="76">
        <v>45389</v>
      </c>
      <c r="G256" s="114">
        <v>250</v>
      </c>
      <c r="H256" s="5" t="s">
        <v>304</v>
      </c>
      <c r="I256" s="5" t="s">
        <v>418</v>
      </c>
      <c r="J256" s="66" t="s">
        <v>322</v>
      </c>
      <c r="K256" s="6" t="s">
        <v>332</v>
      </c>
      <c r="L256" s="6"/>
      <c r="M256" s="116">
        <v>50000</v>
      </c>
      <c r="N256" s="7">
        <f t="shared" si="16"/>
        <v>5035347</v>
      </c>
      <c r="O256" s="86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1"/>
      <c r="AB256" s="14"/>
      <c r="AC256" s="14"/>
      <c r="AD256" s="14"/>
      <c r="AE256" s="14"/>
      <c r="AF256" s="14"/>
      <c r="AG256" s="14"/>
      <c r="AH256" s="14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</row>
    <row r="257" spans="1:54" s="30" customFormat="1" ht="12.75" customHeight="1" x14ac:dyDescent="0.3">
      <c r="A257" s="2"/>
      <c r="B257" s="119">
        <v>1</v>
      </c>
      <c r="C257" s="4"/>
      <c r="D257" s="26"/>
      <c r="E257" s="26"/>
      <c r="F257" s="76">
        <v>45391</v>
      </c>
      <c r="G257" s="114">
        <v>251</v>
      </c>
      <c r="H257" s="5" t="s">
        <v>323</v>
      </c>
      <c r="I257" s="5" t="s">
        <v>418</v>
      </c>
      <c r="J257" s="66" t="s">
        <v>324</v>
      </c>
      <c r="K257" s="6" t="s">
        <v>361</v>
      </c>
      <c r="L257" s="6"/>
      <c r="M257" s="116">
        <v>20000</v>
      </c>
      <c r="N257" s="7">
        <f t="shared" si="16"/>
        <v>5055347</v>
      </c>
      <c r="O257" s="86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1"/>
      <c r="AB257" s="14"/>
      <c r="AC257" s="14"/>
      <c r="AD257" s="14"/>
      <c r="AE257" s="14"/>
      <c r="AF257" s="14"/>
      <c r="AG257" s="14"/>
      <c r="AH257" s="14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</row>
    <row r="258" spans="1:54" s="30" customFormat="1" ht="12.75" customHeight="1" x14ac:dyDescent="0.3">
      <c r="A258" s="2"/>
      <c r="B258" s="119">
        <v>1</v>
      </c>
      <c r="C258" s="4"/>
      <c r="D258" s="26"/>
      <c r="E258" s="26"/>
      <c r="F258" s="76">
        <v>45392</v>
      </c>
      <c r="G258" s="114">
        <v>252</v>
      </c>
      <c r="H258" s="5" t="s">
        <v>304</v>
      </c>
      <c r="I258" s="5" t="s">
        <v>418</v>
      </c>
      <c r="J258" s="66" t="s">
        <v>325</v>
      </c>
      <c r="K258" s="6"/>
      <c r="L258" s="6"/>
      <c r="M258" s="116">
        <v>43300</v>
      </c>
      <c r="N258" s="7">
        <f t="shared" si="16"/>
        <v>5098647</v>
      </c>
      <c r="O258" s="86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1"/>
      <c r="AB258" s="14"/>
      <c r="AC258" s="14"/>
      <c r="AD258" s="14"/>
      <c r="AE258" s="14"/>
      <c r="AF258" s="14"/>
      <c r="AG258" s="14"/>
      <c r="AH258" s="14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</row>
    <row r="259" spans="1:54" s="30" customFormat="1" ht="12.75" customHeight="1" x14ac:dyDescent="0.3">
      <c r="A259" s="2"/>
      <c r="B259" s="119">
        <v>1</v>
      </c>
      <c r="C259" s="4"/>
      <c r="D259" s="26"/>
      <c r="E259" s="26"/>
      <c r="F259" s="76">
        <v>45392</v>
      </c>
      <c r="G259" s="114">
        <v>253</v>
      </c>
      <c r="H259" s="5" t="s">
        <v>16</v>
      </c>
      <c r="I259" s="5" t="s">
        <v>418</v>
      </c>
      <c r="J259" s="66" t="s">
        <v>326</v>
      </c>
      <c r="K259" s="6"/>
      <c r="L259" s="6"/>
      <c r="M259" s="116">
        <v>13900</v>
      </c>
      <c r="N259" s="7">
        <f t="shared" si="16"/>
        <v>5112547</v>
      </c>
      <c r="O259" s="86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1"/>
      <c r="AB259" s="14"/>
      <c r="AC259" s="14"/>
      <c r="AD259" s="14"/>
      <c r="AE259" s="14"/>
      <c r="AF259" s="14"/>
      <c r="AG259" s="14"/>
      <c r="AH259" s="14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</row>
    <row r="260" spans="1:54" s="30" customFormat="1" ht="12.75" customHeight="1" x14ac:dyDescent="0.3">
      <c r="A260" s="2"/>
      <c r="B260" s="119">
        <v>1</v>
      </c>
      <c r="C260" s="4"/>
      <c r="D260" s="26"/>
      <c r="E260" s="26"/>
      <c r="F260" s="76">
        <v>45392</v>
      </c>
      <c r="G260" s="114">
        <v>254</v>
      </c>
      <c r="H260" s="5" t="s">
        <v>70</v>
      </c>
      <c r="I260" s="5" t="s">
        <v>418</v>
      </c>
      <c r="J260" s="66" t="s">
        <v>327</v>
      </c>
      <c r="K260" s="6"/>
      <c r="L260" s="6"/>
      <c r="M260" s="116">
        <v>7000</v>
      </c>
      <c r="N260" s="7">
        <f t="shared" si="16"/>
        <v>5119547</v>
      </c>
      <c r="O260" s="86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1"/>
      <c r="AB260" s="14"/>
      <c r="AC260" s="14"/>
      <c r="AD260" s="14"/>
      <c r="AE260" s="14"/>
      <c r="AF260" s="14"/>
      <c r="AG260" s="14"/>
      <c r="AH260" s="14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</row>
    <row r="261" spans="1:54" s="30" customFormat="1" ht="12.75" customHeight="1" x14ac:dyDescent="0.3">
      <c r="A261" s="2"/>
      <c r="B261" s="119">
        <v>1</v>
      </c>
      <c r="C261" s="4"/>
      <c r="D261" s="26"/>
      <c r="E261" s="26"/>
      <c r="F261" s="76">
        <v>45344</v>
      </c>
      <c r="G261" s="114">
        <v>255</v>
      </c>
      <c r="H261" s="5" t="s">
        <v>328</v>
      </c>
      <c r="I261" s="5" t="s">
        <v>418</v>
      </c>
      <c r="J261" s="66" t="s">
        <v>329</v>
      </c>
      <c r="K261" s="6"/>
      <c r="L261" s="6"/>
      <c r="M261" s="116">
        <v>75000</v>
      </c>
      <c r="N261" s="7">
        <f t="shared" si="16"/>
        <v>5194547</v>
      </c>
      <c r="O261" s="86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1"/>
      <c r="AB261" s="14"/>
      <c r="AC261" s="14"/>
      <c r="AD261" s="14"/>
      <c r="AE261" s="14"/>
      <c r="AF261" s="14"/>
      <c r="AG261" s="14"/>
      <c r="AH261" s="14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</row>
    <row r="262" spans="1:54" s="30" customFormat="1" ht="17.25" customHeight="1" x14ac:dyDescent="0.3">
      <c r="A262" s="87"/>
      <c r="B262" s="87"/>
      <c r="C262" s="109">
        <f>SUBTOTAL(109,Table1[Amount])</f>
        <v>6250000</v>
      </c>
      <c r="D262" s="109">
        <f>D15</f>
        <v>6250000</v>
      </c>
      <c r="E262" s="109"/>
      <c r="F262" s="88"/>
      <c r="G262" s="110"/>
      <c r="H262" s="89"/>
      <c r="I262" s="89"/>
      <c r="J262" s="90"/>
      <c r="K262" s="91"/>
      <c r="L262" s="91"/>
      <c r="M262" s="111">
        <f>SUBTOTAL(109,Table1[Total])</f>
        <v>5194547</v>
      </c>
      <c r="N262" s="111">
        <f>N261</f>
        <v>5194547</v>
      </c>
      <c r="O262" s="101">
        <f>SUBTOTAL(9,Table1[[#Totals],[Cumulative2]])</f>
        <v>5194547</v>
      </c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  <c r="AA262" s="21"/>
      <c r="AB262" s="14"/>
      <c r="AC262" s="14"/>
      <c r="AD262" s="14"/>
      <c r="AE262" s="14"/>
      <c r="AF262" s="14"/>
      <c r="AG262" s="14"/>
      <c r="AH262" s="14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</row>
    <row r="263" spans="1:54" s="30" customFormat="1" ht="12.75" customHeight="1" x14ac:dyDescent="0.3">
      <c r="A263" s="2"/>
      <c r="B263" s="2"/>
      <c r="C263" s="4"/>
      <c r="D263" s="26"/>
      <c r="E263" s="3"/>
      <c r="F263" s="76"/>
      <c r="G263" s="62"/>
      <c r="H263" s="5"/>
      <c r="I263" s="5"/>
      <c r="J263" s="66"/>
      <c r="K263" s="6"/>
      <c r="L263" s="6"/>
      <c r="M263" s="7"/>
      <c r="N263" s="7"/>
      <c r="O263" s="86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93"/>
      <c r="AB263" s="94"/>
      <c r="AC263" s="94"/>
      <c r="AD263" s="94"/>
      <c r="AE263" s="94"/>
      <c r="AF263" s="94"/>
      <c r="AG263" s="94"/>
      <c r="AH263" s="14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</row>
    <row r="264" spans="1:54" s="95" customFormat="1" ht="16.5" x14ac:dyDescent="0.3">
      <c r="A264" s="2"/>
      <c r="B264" s="2"/>
      <c r="C264" s="4"/>
      <c r="D264" s="26"/>
      <c r="E264" s="3"/>
      <c r="F264" s="76"/>
      <c r="G264" s="62"/>
      <c r="H264" s="5"/>
      <c r="I264" s="5"/>
      <c r="J264" s="66"/>
      <c r="K264" s="6"/>
      <c r="L264" s="6"/>
      <c r="M264" s="7"/>
      <c r="N264" s="7"/>
      <c r="O264" s="86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1"/>
      <c r="AB264" s="14"/>
      <c r="AC264" s="14"/>
      <c r="AD264" s="14"/>
      <c r="AE264" s="14"/>
      <c r="AF264" s="14"/>
      <c r="AG264" s="14"/>
      <c r="AH264" s="94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</row>
    <row r="265" spans="1:54" s="30" customFormat="1" ht="16.5" x14ac:dyDescent="0.3">
      <c r="A265" s="2"/>
      <c r="B265" s="2"/>
      <c r="C265" s="4"/>
      <c r="D265" s="26"/>
      <c r="E265" s="3"/>
      <c r="F265" s="76"/>
      <c r="G265" s="62"/>
      <c r="H265" s="5"/>
      <c r="I265" s="5"/>
      <c r="J265" s="66"/>
      <c r="K265" s="6"/>
      <c r="L265" s="6"/>
      <c r="M265" s="7"/>
      <c r="N265" s="7"/>
      <c r="O265" s="86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1"/>
      <c r="AB265" s="14"/>
      <c r="AC265" s="14"/>
      <c r="AD265" s="14"/>
      <c r="AE265" s="14"/>
      <c r="AF265" s="14"/>
      <c r="AG265" s="14"/>
      <c r="AH265" s="14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</row>
    <row r="266" spans="1:54" s="16" customFormat="1" ht="16.5" x14ac:dyDescent="0.3">
      <c r="A266" s="46"/>
      <c r="B266" s="46"/>
      <c r="C266" s="1"/>
      <c r="D266" s="36"/>
      <c r="E266" s="36"/>
      <c r="F266" s="81"/>
      <c r="G266" s="49"/>
      <c r="H266" s="45"/>
      <c r="I266" s="45"/>
      <c r="J266" s="36"/>
      <c r="K266" s="36"/>
      <c r="L266" s="36"/>
      <c r="M266" s="36"/>
      <c r="N266" s="10"/>
      <c r="O266" s="10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21"/>
      <c r="AB266" s="14"/>
      <c r="AC266" s="14"/>
      <c r="AD266" s="14"/>
      <c r="AE266" s="14"/>
      <c r="AF266" s="14"/>
      <c r="AG266" s="14"/>
      <c r="AH266" s="14"/>
      <c r="AI266" s="15"/>
      <c r="AJ266" s="15"/>
      <c r="AK266" s="15"/>
      <c r="AL266" s="15"/>
      <c r="AM266" s="15"/>
      <c r="AN266" s="15"/>
      <c r="AO266" s="15"/>
      <c r="AP266" s="15"/>
      <c r="AQ266" s="15"/>
      <c r="AR266" s="44"/>
    </row>
    <row r="267" spans="1:54" s="16" customFormat="1" ht="16.5" x14ac:dyDescent="0.3">
      <c r="A267" s="46"/>
      <c r="B267" s="46"/>
      <c r="C267" s="1"/>
      <c r="D267" s="36"/>
      <c r="E267" s="36"/>
      <c r="F267" s="81"/>
      <c r="G267" s="49"/>
      <c r="H267" s="45"/>
      <c r="I267" s="45"/>
      <c r="J267" s="36"/>
      <c r="K267" s="36"/>
      <c r="L267" s="36"/>
      <c r="M267" s="36"/>
      <c r="N267" s="10"/>
      <c r="O267" s="10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21"/>
      <c r="AB267" s="14"/>
      <c r="AC267" s="14"/>
      <c r="AD267" s="14"/>
      <c r="AE267" s="14"/>
      <c r="AF267" s="14"/>
      <c r="AG267" s="14"/>
      <c r="AH267" s="14"/>
      <c r="AI267" s="15"/>
      <c r="AJ267" s="15"/>
      <c r="AK267" s="15"/>
      <c r="AL267" s="15"/>
      <c r="AM267" s="15"/>
      <c r="AN267" s="15"/>
      <c r="AO267" s="15"/>
      <c r="AP267" s="15"/>
      <c r="AQ267" s="15"/>
      <c r="AR267" s="44"/>
    </row>
    <row r="268" spans="1:54" s="16" customFormat="1" ht="16.5" x14ac:dyDescent="0.3">
      <c r="A268" s="38"/>
      <c r="B268" s="38"/>
      <c r="C268" s="13"/>
      <c r="D268" s="14"/>
      <c r="E268" s="14"/>
      <c r="F268" s="82"/>
      <c r="G268" s="50"/>
      <c r="H268" s="39"/>
      <c r="I268" s="39"/>
      <c r="J268" s="14"/>
      <c r="K268" s="14"/>
      <c r="L268" s="14"/>
      <c r="M268" s="14"/>
      <c r="N268" s="10"/>
      <c r="O268" s="10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21"/>
      <c r="AB268" s="14"/>
      <c r="AC268" s="14"/>
      <c r="AD268" s="14"/>
      <c r="AE268" s="14"/>
      <c r="AF268" s="14"/>
      <c r="AG268" s="14"/>
      <c r="AH268" s="14"/>
      <c r="AI268" s="15"/>
      <c r="AJ268" s="15"/>
      <c r="AK268" s="15"/>
      <c r="AL268" s="15"/>
      <c r="AM268" s="15"/>
      <c r="AN268" s="15"/>
      <c r="AO268" s="15"/>
      <c r="AP268" s="15"/>
      <c r="AQ268" s="15"/>
    </row>
    <row r="269" spans="1:54" s="16" customFormat="1" ht="16.5" x14ac:dyDescent="0.3">
      <c r="A269" s="38"/>
      <c r="B269" s="38"/>
      <c r="C269" s="13"/>
      <c r="D269" s="14"/>
      <c r="E269" s="14"/>
      <c r="F269" s="82"/>
      <c r="G269" s="50"/>
      <c r="H269" s="39"/>
      <c r="I269" s="39"/>
      <c r="J269" s="14"/>
      <c r="K269" s="14"/>
      <c r="L269" s="14"/>
      <c r="M269" s="14"/>
      <c r="N269" s="10"/>
      <c r="O269" s="10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21"/>
      <c r="AB269" s="14"/>
      <c r="AC269" s="14"/>
      <c r="AD269" s="14"/>
      <c r="AE269" s="14"/>
      <c r="AF269" s="14"/>
      <c r="AG269" s="14"/>
      <c r="AH269" s="14"/>
      <c r="AI269" s="15"/>
      <c r="AJ269" s="15"/>
      <c r="AK269" s="15"/>
      <c r="AL269" s="15"/>
      <c r="AM269" s="15"/>
      <c r="AN269" s="15"/>
      <c r="AO269" s="15"/>
      <c r="AP269" s="15"/>
      <c r="AQ269" s="15"/>
    </row>
    <row r="270" spans="1:54" s="36" customFormat="1" ht="16.5" x14ac:dyDescent="0.3">
      <c r="A270" s="38"/>
      <c r="B270" s="38"/>
      <c r="C270" s="13"/>
      <c r="D270" s="14"/>
      <c r="E270" s="14"/>
      <c r="F270" s="82"/>
      <c r="G270" s="50"/>
      <c r="H270" s="39"/>
      <c r="I270" s="39"/>
      <c r="J270" s="14"/>
      <c r="K270" s="14"/>
      <c r="L270" s="14"/>
      <c r="M270" s="14"/>
      <c r="N270" s="10"/>
      <c r="O270" s="10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21"/>
      <c r="AB270" s="14"/>
      <c r="AC270" s="14"/>
      <c r="AD270" s="14"/>
      <c r="AE270" s="14"/>
      <c r="AF270" s="14"/>
      <c r="AG270" s="14"/>
      <c r="AH270" s="14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54" s="36" customFormat="1" ht="16.5" x14ac:dyDescent="0.3">
      <c r="A271" s="38"/>
      <c r="B271" s="38"/>
      <c r="C271" s="13"/>
      <c r="D271" s="14"/>
      <c r="E271" s="14"/>
      <c r="F271" s="82"/>
      <c r="G271" s="50"/>
      <c r="H271" s="39"/>
      <c r="I271" s="39"/>
      <c r="J271" s="14"/>
      <c r="K271" s="14"/>
      <c r="L271" s="14"/>
      <c r="M271" s="14"/>
      <c r="N271" s="10"/>
      <c r="O271" s="10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21"/>
      <c r="AB271" s="14"/>
      <c r="AC271" s="14"/>
      <c r="AD271" s="14"/>
      <c r="AE271" s="14"/>
      <c r="AF271" s="14"/>
      <c r="AG271" s="14"/>
      <c r="AH271" s="14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54" x14ac:dyDescent="0.2">
      <c r="F272" s="82"/>
      <c r="K272" s="14"/>
      <c r="L272" s="14"/>
      <c r="M272" s="14"/>
      <c r="AS272" s="48"/>
      <c r="AT272" s="48"/>
    </row>
    <row r="273" spans="1:43" s="36" customFormat="1" x14ac:dyDescent="0.2">
      <c r="A273" s="38"/>
      <c r="B273" s="38"/>
      <c r="C273" s="13"/>
      <c r="D273" s="14"/>
      <c r="E273" s="14"/>
      <c r="F273" s="78"/>
      <c r="G273" s="50"/>
      <c r="H273" s="39"/>
      <c r="I273" s="39"/>
      <c r="J273" s="14"/>
      <c r="K273" s="40"/>
      <c r="L273" s="40"/>
      <c r="M273" s="10"/>
      <c r="N273" s="10"/>
      <c r="O273" s="10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4"/>
      <c r="AB273" s="14"/>
      <c r="AC273" s="14"/>
      <c r="AD273" s="14"/>
      <c r="AE273" s="14"/>
      <c r="AF273" s="14"/>
      <c r="AG273" s="14"/>
      <c r="AH273" s="14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s="36" customFormat="1" x14ac:dyDescent="0.2">
      <c r="A274" s="38"/>
      <c r="B274" s="38"/>
      <c r="C274" s="13"/>
      <c r="D274" s="14"/>
      <c r="E274" s="14"/>
      <c r="F274" s="78"/>
      <c r="G274" s="50"/>
      <c r="H274" s="51"/>
      <c r="I274" s="51"/>
      <c r="J274" s="14"/>
      <c r="K274" s="40"/>
      <c r="L274" s="40"/>
      <c r="M274" s="10"/>
      <c r="N274" s="10"/>
      <c r="O274" s="10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4"/>
      <c r="AB274" s="14"/>
      <c r="AC274" s="14"/>
      <c r="AD274" s="14"/>
      <c r="AE274" s="14"/>
      <c r="AF274" s="14"/>
      <c r="AG274" s="14"/>
      <c r="AH274" s="14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x14ac:dyDescent="0.2">
      <c r="A275" s="46"/>
      <c r="B275" s="46"/>
      <c r="C275" s="1"/>
      <c r="D275" s="36"/>
      <c r="E275" s="36"/>
      <c r="F275" s="83"/>
      <c r="G275" s="69"/>
      <c r="H275" s="45"/>
      <c r="I275" s="45"/>
      <c r="J275" s="36"/>
      <c r="K275" s="47"/>
      <c r="L275" s="47"/>
      <c r="M275" s="68"/>
    </row>
    <row r="276" spans="1:43" x14ac:dyDescent="0.2">
      <c r="F276" s="80"/>
      <c r="G276" s="49"/>
      <c r="J276" s="18"/>
      <c r="K276" s="52"/>
      <c r="L276" s="52"/>
      <c r="M276" s="68"/>
    </row>
    <row r="277" spans="1:43" x14ac:dyDescent="0.2">
      <c r="H277" s="51"/>
      <c r="I277" s="51"/>
    </row>
    <row r="278" spans="1:43" x14ac:dyDescent="0.2">
      <c r="A278" s="54"/>
      <c r="B278" s="54"/>
      <c r="C278" s="53"/>
      <c r="D278" s="37"/>
      <c r="E278" s="37"/>
      <c r="F278" s="83"/>
      <c r="G278" s="69"/>
      <c r="H278" s="45"/>
      <c r="I278" s="45"/>
      <c r="J278" s="37"/>
      <c r="K278" s="55"/>
      <c r="L278" s="55"/>
      <c r="M278" s="70"/>
    </row>
    <row r="279" spans="1:43" x14ac:dyDescent="0.2">
      <c r="A279" s="14"/>
      <c r="B279" s="14"/>
      <c r="H279" s="45"/>
      <c r="I279" s="45"/>
    </row>
    <row r="280" spans="1:43" x14ac:dyDescent="0.2">
      <c r="A280" s="14"/>
      <c r="B280" s="14"/>
      <c r="H280" s="45"/>
      <c r="I280" s="45"/>
      <c r="K280" s="56"/>
      <c r="L280" s="56"/>
      <c r="AM280" s="17"/>
      <c r="AN280" s="17"/>
      <c r="AO280" s="17"/>
      <c r="AP280" s="17"/>
    </row>
    <row r="281" spans="1:43" x14ac:dyDescent="0.2">
      <c r="A281" s="14"/>
      <c r="B281" s="14"/>
      <c r="H281" s="45"/>
      <c r="I281" s="45"/>
    </row>
    <row r="282" spans="1:43" s="36" customFormat="1" x14ac:dyDescent="0.2">
      <c r="A282" s="14"/>
      <c r="B282" s="14"/>
      <c r="C282" s="13"/>
      <c r="D282" s="14"/>
      <c r="E282" s="14"/>
      <c r="F282" s="78"/>
      <c r="G282" s="50"/>
      <c r="H282" s="45"/>
      <c r="I282" s="45"/>
      <c r="J282" s="14"/>
      <c r="K282" s="40"/>
      <c r="L282" s="40"/>
      <c r="M282" s="10"/>
      <c r="N282" s="10"/>
      <c r="O282" s="10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4"/>
      <c r="AB282" s="14"/>
      <c r="AC282" s="14"/>
      <c r="AD282" s="14"/>
      <c r="AE282" s="14"/>
      <c r="AF282" s="14"/>
      <c r="AG282" s="14"/>
      <c r="AH282" s="14"/>
      <c r="AI282" s="1"/>
      <c r="AJ282" s="1"/>
      <c r="AK282" s="1"/>
      <c r="AL282" s="1"/>
      <c r="AM282" s="1"/>
      <c r="AN282" s="1"/>
      <c r="AO282" s="1"/>
      <c r="AP282" s="1"/>
      <c r="AQ282" s="1"/>
    </row>
    <row r="284" spans="1:43" x14ac:dyDescent="0.2">
      <c r="A284" s="14"/>
      <c r="B284" s="14"/>
    </row>
    <row r="285" spans="1:43" s="37" customFormat="1" x14ac:dyDescent="0.2">
      <c r="A285" s="38"/>
      <c r="B285" s="38"/>
      <c r="C285" s="13"/>
      <c r="D285" s="14"/>
      <c r="E285" s="14"/>
      <c r="F285" s="78"/>
      <c r="G285" s="50"/>
      <c r="H285" s="39"/>
      <c r="I285" s="39"/>
      <c r="J285" s="14"/>
      <c r="K285" s="40"/>
      <c r="L285" s="40"/>
      <c r="M285" s="10"/>
      <c r="N285" s="10"/>
      <c r="O285" s="10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4"/>
      <c r="AB285" s="14"/>
      <c r="AC285" s="14"/>
      <c r="AD285" s="14"/>
      <c r="AE285" s="14"/>
      <c r="AF285" s="14"/>
      <c r="AG285" s="14"/>
      <c r="AH285" s="14"/>
      <c r="AI285" s="53"/>
      <c r="AJ285" s="53"/>
      <c r="AK285" s="53"/>
      <c r="AL285" s="53"/>
      <c r="AM285" s="53"/>
      <c r="AN285" s="53"/>
      <c r="AO285" s="53"/>
      <c r="AP285" s="53"/>
      <c r="AQ285" s="53"/>
    </row>
    <row r="287" spans="1:43" x14ac:dyDescent="0.2">
      <c r="AM287" s="17"/>
      <c r="AN287" s="17"/>
      <c r="AO287" s="17"/>
      <c r="AP287" s="17"/>
    </row>
    <row r="289" spans="1:43" x14ac:dyDescent="0.2">
      <c r="A289" s="14"/>
      <c r="B289" s="14"/>
    </row>
    <row r="291" spans="1:43" x14ac:dyDescent="0.2">
      <c r="A291" s="14"/>
      <c r="B291" s="14"/>
      <c r="K291" s="57"/>
      <c r="L291" s="57"/>
      <c r="AM291" s="17"/>
      <c r="AN291" s="17"/>
      <c r="AO291" s="17"/>
      <c r="AP291" s="17"/>
    </row>
    <row r="293" spans="1:43" x14ac:dyDescent="0.2">
      <c r="A293" s="14"/>
      <c r="B293" s="14"/>
      <c r="C293" s="14"/>
    </row>
    <row r="294" spans="1:43" x14ac:dyDescent="0.2">
      <c r="A294" s="14"/>
      <c r="B294" s="14"/>
      <c r="C294" s="14"/>
    </row>
    <row r="295" spans="1:43" x14ac:dyDescent="0.2">
      <c r="A295" s="14"/>
      <c r="B295" s="14"/>
      <c r="C295" s="14"/>
    </row>
    <row r="296" spans="1:43" x14ac:dyDescent="0.2">
      <c r="A296" s="14"/>
      <c r="B296" s="14"/>
      <c r="C296" s="14"/>
      <c r="AM296" s="17"/>
      <c r="AN296" s="17"/>
      <c r="AO296" s="17"/>
      <c r="AP296" s="17"/>
    </row>
    <row r="297" spans="1:43" x14ac:dyDescent="0.2">
      <c r="A297" s="14"/>
      <c r="B297" s="14"/>
      <c r="C297" s="14"/>
    </row>
    <row r="298" spans="1:43" x14ac:dyDescent="0.2">
      <c r="A298" s="14"/>
      <c r="B298" s="14"/>
      <c r="C298" s="14"/>
    </row>
    <row r="299" spans="1:43" x14ac:dyDescent="0.2">
      <c r="A299" s="14"/>
      <c r="B299" s="14"/>
      <c r="C299" s="14"/>
    </row>
    <row r="300" spans="1:43" x14ac:dyDescent="0.2">
      <c r="A300" s="14"/>
      <c r="B300" s="14"/>
      <c r="C300" s="14"/>
      <c r="AQ300" s="14"/>
    </row>
    <row r="301" spans="1:43" x14ac:dyDescent="0.2">
      <c r="A301" s="14"/>
      <c r="B301" s="14"/>
      <c r="C301" s="14"/>
      <c r="AQ301" s="14"/>
    </row>
    <row r="302" spans="1:43" x14ac:dyDescent="0.2">
      <c r="A302" s="14"/>
      <c r="B302" s="14"/>
      <c r="C302" s="14"/>
      <c r="AQ302" s="14"/>
    </row>
    <row r="303" spans="1:43" x14ac:dyDescent="0.2">
      <c r="A303" s="14"/>
      <c r="B303" s="14"/>
      <c r="C303" s="14"/>
      <c r="AQ303" s="14"/>
    </row>
    <row r="304" spans="1:43" x14ac:dyDescent="0.2">
      <c r="A304" s="14"/>
      <c r="B304" s="14"/>
      <c r="C304" s="14"/>
      <c r="AQ304" s="14"/>
    </row>
    <row r="305" spans="1:43" x14ac:dyDescent="0.2">
      <c r="A305" s="14"/>
      <c r="B305" s="14"/>
      <c r="C305" s="14"/>
      <c r="AQ305" s="14"/>
    </row>
    <row r="306" spans="1:43" x14ac:dyDescent="0.2">
      <c r="A306" s="14"/>
      <c r="B306" s="14"/>
      <c r="C306" s="14"/>
      <c r="AQ306" s="14"/>
    </row>
    <row r="307" spans="1:43" x14ac:dyDescent="0.2">
      <c r="A307" s="14"/>
      <c r="B307" s="14"/>
      <c r="C307" s="14"/>
      <c r="AQ307" s="14"/>
    </row>
    <row r="308" spans="1:43" x14ac:dyDescent="0.2">
      <c r="A308" s="14"/>
      <c r="B308" s="14"/>
      <c r="C308" s="14"/>
      <c r="AQ308" s="14"/>
    </row>
    <row r="309" spans="1:43" x14ac:dyDescent="0.2">
      <c r="A309" s="14"/>
      <c r="B309" s="14"/>
      <c r="C309" s="14"/>
      <c r="AQ309" s="14"/>
    </row>
    <row r="310" spans="1:43" x14ac:dyDescent="0.2">
      <c r="A310" s="14"/>
      <c r="B310" s="14"/>
      <c r="C310" s="14"/>
      <c r="AM310" s="17"/>
      <c r="AN310" s="17"/>
      <c r="AO310" s="17"/>
      <c r="AP310" s="17"/>
      <c r="AQ310" s="14"/>
    </row>
    <row r="311" spans="1:43" x14ac:dyDescent="0.2">
      <c r="A311" s="14"/>
      <c r="B311" s="14"/>
      <c r="C311" s="14"/>
      <c r="AQ311" s="14"/>
    </row>
    <row r="312" spans="1:43" x14ac:dyDescent="0.2">
      <c r="A312" s="14"/>
      <c r="B312" s="14"/>
      <c r="C312" s="14"/>
      <c r="AQ312" s="14"/>
    </row>
    <row r="313" spans="1:43" x14ac:dyDescent="0.2">
      <c r="A313" s="14"/>
      <c r="B313" s="14"/>
      <c r="C313" s="14"/>
      <c r="AM313" s="17"/>
      <c r="AN313" s="17"/>
      <c r="AO313" s="17"/>
      <c r="AP313" s="17"/>
      <c r="AQ313" s="14"/>
    </row>
    <row r="314" spans="1:43" x14ac:dyDescent="0.2">
      <c r="A314" s="14"/>
      <c r="B314" s="14"/>
      <c r="C314" s="14"/>
      <c r="AQ314" s="14"/>
    </row>
    <row r="315" spans="1:43" x14ac:dyDescent="0.2">
      <c r="A315" s="14"/>
      <c r="B315" s="14"/>
      <c r="C315" s="14"/>
      <c r="AQ315" s="14"/>
    </row>
    <row r="316" spans="1:43" x14ac:dyDescent="0.2">
      <c r="A316" s="14"/>
      <c r="B316" s="14"/>
      <c r="C316" s="14"/>
      <c r="AQ316" s="14"/>
    </row>
    <row r="317" spans="1:43" x14ac:dyDescent="0.2">
      <c r="A317" s="14"/>
      <c r="B317" s="14"/>
      <c r="C317" s="14"/>
      <c r="AQ317" s="14"/>
    </row>
    <row r="318" spans="1:43" x14ac:dyDescent="0.2">
      <c r="A318" s="14"/>
      <c r="B318" s="14"/>
      <c r="C318" s="14"/>
      <c r="AQ318" s="14"/>
    </row>
    <row r="319" spans="1:43" x14ac:dyDescent="0.2">
      <c r="A319" s="14"/>
      <c r="B319" s="14"/>
      <c r="C319" s="14"/>
      <c r="X319" s="17"/>
      <c r="Y319" s="17"/>
      <c r="Z319" s="17"/>
      <c r="AQ319" s="14"/>
    </row>
    <row r="320" spans="1:43" x14ac:dyDescent="0.2">
      <c r="A320" s="14"/>
      <c r="B320" s="14"/>
      <c r="C320" s="14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Q320" s="14"/>
    </row>
    <row r="321" spans="1:43" x14ac:dyDescent="0.2">
      <c r="A321" s="14"/>
      <c r="B321" s="14"/>
      <c r="C321" s="14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M321" s="17"/>
      <c r="AN321" s="17"/>
      <c r="AO321" s="17"/>
      <c r="AP321" s="17"/>
      <c r="AQ321" s="14"/>
    </row>
    <row r="322" spans="1:43" x14ac:dyDescent="0.2">
      <c r="A322" s="14"/>
      <c r="B322" s="14"/>
      <c r="C322" s="14"/>
      <c r="P322" s="17"/>
      <c r="Q322" s="17"/>
      <c r="R322" s="17"/>
      <c r="S322" s="17"/>
      <c r="T322" s="17"/>
      <c r="U322" s="17"/>
      <c r="V322" s="17"/>
      <c r="W322" s="17"/>
      <c r="AQ322" s="14"/>
    </row>
    <row r="323" spans="1:43" x14ac:dyDescent="0.2">
      <c r="A323" s="14"/>
      <c r="B323" s="14"/>
      <c r="C323" s="14"/>
      <c r="AM323" s="17"/>
      <c r="AN323" s="17"/>
      <c r="AO323" s="17"/>
      <c r="AP323" s="17"/>
      <c r="AQ323" s="14"/>
    </row>
    <row r="324" spans="1:43" x14ac:dyDescent="0.2">
      <c r="A324" s="14"/>
      <c r="B324" s="14"/>
      <c r="C324" s="14"/>
      <c r="AM324" s="17"/>
      <c r="AN324" s="17"/>
      <c r="AO324" s="17"/>
      <c r="AP324" s="17"/>
      <c r="AQ324" s="14"/>
    </row>
    <row r="325" spans="1:43" x14ac:dyDescent="0.2">
      <c r="A325" s="14"/>
      <c r="B325" s="14"/>
      <c r="C325" s="14"/>
      <c r="X325" s="17"/>
      <c r="Y325" s="17"/>
      <c r="Z325" s="17"/>
      <c r="AQ325" s="14"/>
    </row>
    <row r="326" spans="1:43" x14ac:dyDescent="0.2">
      <c r="A326" s="14"/>
      <c r="B326" s="14"/>
      <c r="C326" s="14"/>
      <c r="P326" s="17"/>
      <c r="Q326" s="17"/>
      <c r="R326" s="17"/>
      <c r="S326" s="17"/>
      <c r="T326" s="17"/>
      <c r="U326" s="17"/>
      <c r="V326" s="17"/>
      <c r="W326" s="17"/>
      <c r="AA326" s="18"/>
      <c r="AB326" s="18"/>
      <c r="AC326" s="18"/>
      <c r="AD326" s="18"/>
      <c r="AE326" s="18"/>
      <c r="AF326" s="18"/>
      <c r="AG326" s="18"/>
      <c r="AQ326" s="14"/>
    </row>
    <row r="327" spans="1:43" x14ac:dyDescent="0.2">
      <c r="A327" s="14"/>
      <c r="B327" s="14"/>
      <c r="C327" s="14"/>
      <c r="AA327" s="18"/>
      <c r="AB327" s="18"/>
      <c r="AC327" s="18"/>
      <c r="AD327" s="18"/>
      <c r="AE327" s="18"/>
      <c r="AF327" s="18"/>
      <c r="AG327" s="18"/>
      <c r="AH327" s="18"/>
      <c r="AQ327" s="14"/>
    </row>
    <row r="328" spans="1:43" x14ac:dyDescent="0.2">
      <c r="A328" s="14"/>
      <c r="B328" s="14"/>
      <c r="C328" s="14"/>
      <c r="AA328" s="18"/>
      <c r="AB328" s="18"/>
      <c r="AC328" s="18"/>
      <c r="AD328" s="18"/>
      <c r="AE328" s="18"/>
      <c r="AF328" s="18"/>
      <c r="AG328" s="18"/>
      <c r="AH328" s="18"/>
      <c r="AQ328" s="14"/>
    </row>
    <row r="329" spans="1:43" x14ac:dyDescent="0.2">
      <c r="A329" s="14"/>
      <c r="B329" s="14"/>
      <c r="C329" s="14"/>
      <c r="AH329" s="18"/>
      <c r="AQ329" s="14"/>
    </row>
    <row r="330" spans="1:43" x14ac:dyDescent="0.2">
      <c r="A330" s="14"/>
      <c r="B330" s="14"/>
      <c r="C330" s="14"/>
      <c r="AM330" s="17"/>
      <c r="AN330" s="17"/>
      <c r="AO330" s="17"/>
      <c r="AP330" s="17"/>
      <c r="AQ330" s="14"/>
    </row>
    <row r="331" spans="1:43" x14ac:dyDescent="0.2">
      <c r="A331" s="14"/>
      <c r="B331" s="14"/>
      <c r="C331" s="14"/>
      <c r="AM331" s="17"/>
      <c r="AN331" s="17"/>
      <c r="AO331" s="17"/>
      <c r="AP331" s="17"/>
      <c r="AQ331" s="14"/>
    </row>
    <row r="332" spans="1:43" x14ac:dyDescent="0.2">
      <c r="A332" s="14"/>
      <c r="B332" s="14"/>
      <c r="C332" s="14"/>
      <c r="AA332" s="18"/>
      <c r="AB332" s="18"/>
      <c r="AC332" s="18"/>
      <c r="AD332" s="18"/>
      <c r="AE332" s="18"/>
      <c r="AF332" s="18"/>
      <c r="AG332" s="18"/>
      <c r="AQ332" s="14"/>
    </row>
    <row r="333" spans="1:43" x14ac:dyDescent="0.2">
      <c r="A333" s="14"/>
      <c r="B333" s="14"/>
      <c r="C333" s="14"/>
      <c r="AH333" s="18"/>
      <c r="AQ333" s="14"/>
    </row>
    <row r="334" spans="1:43" x14ac:dyDescent="0.2">
      <c r="A334" s="14"/>
      <c r="B334" s="14"/>
      <c r="C334" s="14"/>
      <c r="AQ334" s="14"/>
    </row>
    <row r="335" spans="1:43" x14ac:dyDescent="0.2">
      <c r="A335" s="14"/>
      <c r="B335" s="14"/>
      <c r="C335" s="14"/>
      <c r="AQ335" s="14"/>
    </row>
    <row r="336" spans="1:43" x14ac:dyDescent="0.2">
      <c r="A336" s="14"/>
      <c r="B336" s="14"/>
      <c r="C336" s="14"/>
      <c r="AQ336" s="14"/>
    </row>
    <row r="337" spans="1:43" x14ac:dyDescent="0.2">
      <c r="A337" s="14"/>
      <c r="B337" s="14"/>
      <c r="C337" s="14"/>
      <c r="AQ337" s="14"/>
    </row>
    <row r="338" spans="1:43" x14ac:dyDescent="0.2">
      <c r="A338" s="14"/>
      <c r="B338" s="14"/>
      <c r="C338" s="14"/>
      <c r="AQ338" s="14"/>
    </row>
    <row r="339" spans="1:43" x14ac:dyDescent="0.2">
      <c r="A339" s="14"/>
      <c r="B339" s="14"/>
      <c r="C339" s="14"/>
      <c r="AQ339" s="14"/>
    </row>
    <row r="340" spans="1:43" x14ac:dyDescent="0.2">
      <c r="A340" s="14"/>
      <c r="B340" s="14"/>
      <c r="C340" s="14"/>
      <c r="AM340" s="17"/>
      <c r="AN340" s="17"/>
      <c r="AO340" s="17"/>
      <c r="AP340" s="17"/>
      <c r="AQ340" s="14"/>
    </row>
    <row r="341" spans="1:43" x14ac:dyDescent="0.2">
      <c r="A341" s="14"/>
      <c r="B341" s="14"/>
      <c r="C341" s="14"/>
      <c r="AQ341" s="14"/>
    </row>
    <row r="342" spans="1:43" x14ac:dyDescent="0.2">
      <c r="A342" s="14"/>
      <c r="B342" s="14"/>
      <c r="C342" s="14"/>
      <c r="AQ342" s="14"/>
    </row>
    <row r="343" spans="1:43" x14ac:dyDescent="0.2">
      <c r="A343" s="14"/>
      <c r="B343" s="14"/>
      <c r="C343" s="14"/>
      <c r="AQ343" s="14"/>
    </row>
    <row r="344" spans="1:43" x14ac:dyDescent="0.2">
      <c r="A344" s="14"/>
      <c r="B344" s="14"/>
      <c r="C344" s="14"/>
      <c r="AQ344" s="14"/>
    </row>
    <row r="345" spans="1:43" x14ac:dyDescent="0.2">
      <c r="A345" s="14"/>
      <c r="B345" s="14"/>
      <c r="C345" s="14"/>
      <c r="AQ345" s="14"/>
    </row>
    <row r="346" spans="1:43" x14ac:dyDescent="0.2">
      <c r="A346" s="14"/>
      <c r="B346" s="14"/>
      <c r="C346" s="14"/>
      <c r="AQ346" s="14"/>
    </row>
    <row r="347" spans="1:43" x14ac:dyDescent="0.2">
      <c r="A347" s="14"/>
      <c r="B347" s="14"/>
      <c r="C347" s="14"/>
      <c r="AM347" s="17"/>
      <c r="AN347" s="17"/>
      <c r="AO347" s="17"/>
      <c r="AP347" s="17"/>
      <c r="AQ347" s="14"/>
    </row>
    <row r="348" spans="1:43" x14ac:dyDescent="0.2">
      <c r="A348" s="14"/>
      <c r="B348" s="14"/>
      <c r="C348" s="14"/>
      <c r="AQ348" s="14"/>
    </row>
    <row r="349" spans="1:43" x14ac:dyDescent="0.2">
      <c r="A349" s="14"/>
      <c r="B349" s="14"/>
      <c r="C349" s="14"/>
      <c r="AQ349" s="14"/>
    </row>
    <row r="350" spans="1:43" x14ac:dyDescent="0.2">
      <c r="A350" s="14"/>
      <c r="B350" s="14"/>
      <c r="C350" s="14"/>
      <c r="AQ350" s="14"/>
    </row>
    <row r="351" spans="1:43" x14ac:dyDescent="0.2">
      <c r="A351" s="14"/>
      <c r="B351" s="14"/>
      <c r="C351" s="14"/>
      <c r="AQ351" s="14"/>
    </row>
    <row r="352" spans="1:43" x14ac:dyDescent="0.2">
      <c r="A352" s="14"/>
      <c r="B352" s="14"/>
      <c r="C352" s="14"/>
      <c r="AQ352" s="14"/>
    </row>
    <row r="353" spans="1:43" x14ac:dyDescent="0.2">
      <c r="A353" s="14"/>
      <c r="B353" s="14"/>
      <c r="C353" s="14"/>
      <c r="AQ353" s="14"/>
    </row>
    <row r="354" spans="1:43" x14ac:dyDescent="0.2">
      <c r="A354" s="14"/>
      <c r="B354" s="14"/>
      <c r="C354" s="14"/>
      <c r="AQ354" s="14"/>
    </row>
    <row r="355" spans="1:43" x14ac:dyDescent="0.2">
      <c r="A355" s="14"/>
      <c r="B355" s="14"/>
      <c r="C355" s="14"/>
      <c r="AM355" s="17"/>
      <c r="AN355" s="17"/>
      <c r="AO355" s="17"/>
      <c r="AP355" s="17"/>
      <c r="AQ355" s="14"/>
    </row>
    <row r="356" spans="1:43" x14ac:dyDescent="0.2">
      <c r="A356" s="14"/>
      <c r="B356" s="14"/>
      <c r="C356" s="14"/>
      <c r="AQ356" s="14"/>
    </row>
    <row r="357" spans="1:43" x14ac:dyDescent="0.2">
      <c r="A357" s="14"/>
      <c r="B357" s="14"/>
      <c r="AQ357" s="14"/>
    </row>
    <row r="358" spans="1:43" x14ac:dyDescent="0.2">
      <c r="A358" s="14"/>
      <c r="B358" s="14"/>
      <c r="AM358" s="17"/>
      <c r="AN358" s="17"/>
      <c r="AO358" s="17"/>
      <c r="AP358" s="17"/>
      <c r="AQ358" s="14"/>
    </row>
    <row r="359" spans="1:43" x14ac:dyDescent="0.2">
      <c r="AQ359" s="14"/>
    </row>
    <row r="360" spans="1:43" x14ac:dyDescent="0.2">
      <c r="AQ360" s="14"/>
    </row>
    <row r="361" spans="1:43" x14ac:dyDescent="0.2">
      <c r="H361" s="58"/>
      <c r="I361" s="58"/>
      <c r="AM361" s="17"/>
      <c r="AN361" s="17"/>
      <c r="AO361" s="17"/>
      <c r="AP361" s="17"/>
      <c r="AQ361" s="14"/>
    </row>
    <row r="362" spans="1:43" x14ac:dyDescent="0.2">
      <c r="A362" s="59"/>
      <c r="B362" s="59"/>
      <c r="C362" s="17"/>
      <c r="D362" s="18"/>
      <c r="E362" s="18"/>
      <c r="F362" s="84"/>
      <c r="G362" s="71"/>
      <c r="H362" s="58"/>
      <c r="I362" s="58"/>
      <c r="J362" s="18"/>
      <c r="K362" s="18"/>
      <c r="L362" s="18"/>
      <c r="M362" s="12"/>
      <c r="N362" s="12"/>
      <c r="O362" s="104"/>
      <c r="AQ362" s="14"/>
    </row>
    <row r="363" spans="1:43" x14ac:dyDescent="0.2">
      <c r="A363" s="59"/>
      <c r="B363" s="59"/>
      <c r="C363" s="17"/>
      <c r="D363" s="18"/>
      <c r="E363" s="18"/>
      <c r="F363" s="84"/>
      <c r="G363" s="71"/>
      <c r="H363" s="58"/>
      <c r="I363" s="58"/>
      <c r="J363" s="18"/>
      <c r="K363" s="18"/>
      <c r="L363" s="18"/>
      <c r="M363" s="12"/>
      <c r="N363" s="12"/>
      <c r="O363" s="104"/>
      <c r="AQ363" s="14"/>
    </row>
    <row r="364" spans="1:43" x14ac:dyDescent="0.2">
      <c r="A364" s="59"/>
      <c r="B364" s="59"/>
      <c r="C364" s="17"/>
      <c r="D364" s="18"/>
      <c r="E364" s="18"/>
      <c r="F364" s="84"/>
      <c r="G364" s="71"/>
      <c r="J364" s="18"/>
      <c r="K364" s="18"/>
      <c r="L364" s="18"/>
      <c r="M364" s="12"/>
      <c r="N364" s="12"/>
      <c r="O364" s="104"/>
    </row>
    <row r="365" spans="1:43" x14ac:dyDescent="0.2">
      <c r="K365" s="14"/>
      <c r="L365" s="14"/>
    </row>
    <row r="367" spans="1:43" x14ac:dyDescent="0.2">
      <c r="H367" s="58"/>
      <c r="I367" s="58"/>
    </row>
    <row r="368" spans="1:43" x14ac:dyDescent="0.2">
      <c r="A368" s="59"/>
      <c r="B368" s="59"/>
      <c r="C368" s="17"/>
      <c r="D368" s="18"/>
      <c r="E368" s="18"/>
      <c r="F368" s="84"/>
      <c r="G368" s="71"/>
      <c r="J368" s="18"/>
      <c r="K368" s="18"/>
      <c r="L368" s="18"/>
      <c r="M368" s="12"/>
      <c r="N368" s="12"/>
      <c r="O368" s="104"/>
    </row>
    <row r="369" spans="1:43" s="18" customFormat="1" x14ac:dyDescent="0.2">
      <c r="A369" s="38"/>
      <c r="B369" s="38"/>
      <c r="C369" s="13"/>
      <c r="D369" s="14"/>
      <c r="E369" s="14"/>
      <c r="F369" s="78"/>
      <c r="G369" s="50"/>
      <c r="H369" s="39"/>
      <c r="I369" s="39"/>
      <c r="J369" s="14"/>
      <c r="K369" s="40"/>
      <c r="L369" s="40"/>
      <c r="M369" s="10"/>
      <c r="N369" s="10"/>
      <c r="O369" s="10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4"/>
      <c r="AB369" s="14"/>
      <c r="AC369" s="14"/>
      <c r="AD369" s="14"/>
      <c r="AE369" s="14"/>
      <c r="AF369" s="14"/>
      <c r="AG369" s="14"/>
      <c r="AH369" s="14"/>
      <c r="AI369" s="17"/>
      <c r="AJ369" s="17"/>
      <c r="AK369" s="17"/>
      <c r="AL369" s="17"/>
      <c r="AM369" s="17"/>
      <c r="AN369" s="17"/>
      <c r="AO369" s="17"/>
      <c r="AP369" s="17"/>
      <c r="AQ369" s="17"/>
    </row>
    <row r="370" spans="1:43" s="18" customFormat="1" x14ac:dyDescent="0.2">
      <c r="A370" s="38"/>
      <c r="B370" s="38"/>
      <c r="C370" s="13"/>
      <c r="D370" s="14"/>
      <c r="E370" s="14"/>
      <c r="F370" s="78"/>
      <c r="G370" s="50"/>
      <c r="H370" s="39"/>
      <c r="I370" s="39"/>
      <c r="J370" s="14"/>
      <c r="K370" s="40"/>
      <c r="L370" s="40"/>
      <c r="M370" s="10"/>
      <c r="N370" s="10"/>
      <c r="O370" s="10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  <c r="AB370" s="14"/>
      <c r="AC370" s="14"/>
      <c r="AD370" s="14"/>
      <c r="AE370" s="14"/>
      <c r="AF370" s="14"/>
      <c r="AG370" s="14"/>
      <c r="AH370" s="14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:43" s="18" customFormat="1" x14ac:dyDescent="0.2">
      <c r="A371" s="38"/>
      <c r="B371" s="38"/>
      <c r="C371" s="13"/>
      <c r="D371" s="14"/>
      <c r="E371" s="14"/>
      <c r="F371" s="78"/>
      <c r="G371" s="50"/>
      <c r="H371" s="42"/>
      <c r="I371" s="42"/>
      <c r="J371" s="14"/>
      <c r="K371" s="40"/>
      <c r="L371" s="40"/>
      <c r="M371" s="10"/>
      <c r="N371" s="10"/>
      <c r="O371" s="10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4"/>
      <c r="AB371" s="14"/>
      <c r="AC371" s="14"/>
      <c r="AD371" s="14"/>
      <c r="AE371" s="14"/>
      <c r="AF371" s="14"/>
      <c r="AG371" s="14"/>
      <c r="AH371" s="14"/>
      <c r="AI371" s="17"/>
      <c r="AJ371" s="17"/>
      <c r="AK371" s="17"/>
      <c r="AL371" s="17"/>
      <c r="AM371" s="17"/>
      <c r="AN371" s="17"/>
      <c r="AO371" s="17"/>
      <c r="AP371" s="17"/>
      <c r="AQ371" s="17"/>
    </row>
    <row r="372" spans="1:43" x14ac:dyDescent="0.2">
      <c r="F372" s="79"/>
      <c r="G372" s="67"/>
      <c r="J372" s="16"/>
      <c r="K372" s="43"/>
      <c r="L372" s="43"/>
      <c r="M372" s="11"/>
      <c r="N372" s="11"/>
      <c r="O372" s="103"/>
    </row>
    <row r="373" spans="1:43" x14ac:dyDescent="0.2">
      <c r="C373" s="14"/>
    </row>
    <row r="374" spans="1:43" x14ac:dyDescent="0.2">
      <c r="C374" s="14"/>
      <c r="AM374" s="17"/>
      <c r="AN374" s="17"/>
      <c r="AO374" s="17"/>
      <c r="AP374" s="17"/>
    </row>
    <row r="375" spans="1:43" s="18" customFormat="1" x14ac:dyDescent="0.2">
      <c r="A375" s="14"/>
      <c r="B375" s="14"/>
      <c r="C375" s="14"/>
      <c r="D375" s="14"/>
      <c r="E375" s="14"/>
      <c r="F375" s="78"/>
      <c r="G375" s="50"/>
      <c r="H375" s="39"/>
      <c r="I375" s="39"/>
      <c r="J375" s="14"/>
      <c r="K375" s="14"/>
      <c r="L375" s="14"/>
      <c r="M375" s="10"/>
      <c r="N375" s="10"/>
      <c r="O375" s="102"/>
      <c r="P375" s="13"/>
      <c r="Q375" s="13"/>
      <c r="R375" s="13"/>
      <c r="S375" s="13"/>
      <c r="T375" s="13"/>
      <c r="U375" s="13"/>
      <c r="V375" s="13"/>
      <c r="W375" s="13"/>
      <c r="X375" s="15"/>
      <c r="Y375" s="15"/>
      <c r="Z375" s="15"/>
      <c r="AA375" s="14"/>
      <c r="AB375" s="14"/>
      <c r="AC375" s="14"/>
      <c r="AD375" s="14"/>
      <c r="AE375" s="14"/>
      <c r="AF375" s="14"/>
      <c r="AG375" s="14"/>
      <c r="AH375" s="14"/>
      <c r="AI375" s="17"/>
      <c r="AJ375" s="17"/>
      <c r="AK375" s="17"/>
      <c r="AL375" s="17"/>
      <c r="AM375" s="17"/>
      <c r="AN375" s="17"/>
      <c r="AO375" s="17"/>
      <c r="AP375" s="17"/>
      <c r="AQ375" s="17"/>
    </row>
    <row r="376" spans="1:43" x14ac:dyDescent="0.2">
      <c r="A376" s="14"/>
      <c r="B376" s="14"/>
      <c r="C376" s="14"/>
      <c r="K376" s="14"/>
      <c r="L376" s="14"/>
      <c r="P376" s="15"/>
      <c r="Q376" s="15"/>
      <c r="R376" s="15"/>
      <c r="S376" s="15"/>
      <c r="T376" s="15"/>
      <c r="U376" s="15"/>
      <c r="V376" s="15"/>
      <c r="W376" s="15"/>
    </row>
    <row r="377" spans="1:43" x14ac:dyDescent="0.2">
      <c r="A377" s="14"/>
      <c r="B377" s="14"/>
      <c r="C377" s="14"/>
      <c r="K377" s="14"/>
      <c r="L377" s="14"/>
    </row>
    <row r="378" spans="1:43" x14ac:dyDescent="0.2">
      <c r="A378" s="14"/>
      <c r="B378" s="14"/>
      <c r="C378" s="14"/>
      <c r="H378" s="42"/>
      <c r="I378" s="42"/>
      <c r="K378" s="14"/>
      <c r="L378" s="14"/>
    </row>
    <row r="379" spans="1:43" x14ac:dyDescent="0.2">
      <c r="A379" s="14"/>
      <c r="B379" s="14"/>
      <c r="C379" s="14"/>
      <c r="F379" s="79"/>
      <c r="G379" s="67"/>
      <c r="H379" s="42"/>
      <c r="I379" s="42"/>
      <c r="J379" s="16"/>
      <c r="K379" s="43"/>
      <c r="L379" s="43"/>
      <c r="M379" s="11"/>
      <c r="N379" s="11"/>
      <c r="O379" s="103"/>
    </row>
    <row r="380" spans="1:43" x14ac:dyDescent="0.2">
      <c r="A380" s="14"/>
      <c r="B380" s="14"/>
      <c r="C380" s="14"/>
      <c r="F380" s="79"/>
      <c r="G380" s="67"/>
      <c r="J380" s="16"/>
      <c r="K380" s="43"/>
      <c r="L380" s="43"/>
      <c r="M380" s="11"/>
      <c r="N380" s="11"/>
      <c r="O380" s="103"/>
      <c r="AQ380" s="14"/>
    </row>
    <row r="381" spans="1:43" x14ac:dyDescent="0.2">
      <c r="A381" s="14"/>
      <c r="B381" s="14"/>
      <c r="C381" s="14"/>
      <c r="AQ381" s="14"/>
    </row>
    <row r="382" spans="1:43" x14ac:dyDescent="0.2">
      <c r="A382" s="14"/>
      <c r="B382" s="14"/>
      <c r="C382" s="14"/>
      <c r="H382" s="42"/>
      <c r="I382" s="42"/>
      <c r="AA382" s="16"/>
      <c r="AB382" s="16"/>
      <c r="AC382" s="16"/>
      <c r="AD382" s="16"/>
      <c r="AE382" s="16"/>
      <c r="AF382" s="16"/>
      <c r="AG382" s="16"/>
      <c r="AQ382" s="14"/>
    </row>
    <row r="383" spans="1:43" x14ac:dyDescent="0.2">
      <c r="A383" s="14"/>
      <c r="B383" s="14"/>
      <c r="C383" s="14"/>
      <c r="F383" s="79"/>
      <c r="G383" s="67"/>
      <c r="J383" s="16"/>
      <c r="K383" s="43"/>
      <c r="L383" s="43"/>
      <c r="M383" s="11"/>
      <c r="N383" s="11"/>
      <c r="O383" s="103"/>
      <c r="AH383" s="16"/>
      <c r="AQ383" s="14"/>
    </row>
    <row r="384" spans="1:43" x14ac:dyDescent="0.2">
      <c r="A384" s="14"/>
      <c r="B384" s="14"/>
      <c r="C384" s="14"/>
      <c r="AM384" s="17"/>
      <c r="AN384" s="17"/>
      <c r="AO384" s="17"/>
      <c r="AP384" s="17"/>
      <c r="AQ384" s="14"/>
    </row>
    <row r="385" spans="1:43" x14ac:dyDescent="0.2">
      <c r="A385" s="14"/>
      <c r="B385" s="14"/>
      <c r="C385" s="14"/>
      <c r="AM385" s="17"/>
      <c r="AN385" s="17"/>
      <c r="AO385" s="17"/>
      <c r="AP385" s="17"/>
      <c r="AQ385" s="14"/>
    </row>
    <row r="386" spans="1:43" x14ac:dyDescent="0.2">
      <c r="A386" s="14"/>
      <c r="B386" s="14"/>
      <c r="C386" s="14"/>
      <c r="AQ386" s="14"/>
    </row>
    <row r="387" spans="1:43" x14ac:dyDescent="0.2">
      <c r="A387" s="14"/>
      <c r="B387" s="14"/>
      <c r="C387" s="14"/>
      <c r="AQ387" s="14"/>
    </row>
    <row r="388" spans="1:43" x14ac:dyDescent="0.2">
      <c r="A388" s="14"/>
      <c r="B388" s="14"/>
      <c r="C388" s="14"/>
      <c r="AQ388" s="14"/>
    </row>
    <row r="389" spans="1:43" x14ac:dyDescent="0.2">
      <c r="A389" s="14"/>
      <c r="B389" s="14"/>
      <c r="C389" s="14"/>
      <c r="AQ389" s="14"/>
    </row>
    <row r="390" spans="1:43" x14ac:dyDescent="0.2">
      <c r="A390" s="14"/>
      <c r="B390" s="14"/>
      <c r="C390" s="14"/>
      <c r="AQ390" s="14"/>
    </row>
    <row r="391" spans="1:43" x14ac:dyDescent="0.2">
      <c r="A391" s="14"/>
      <c r="B391" s="14"/>
      <c r="C391" s="14"/>
      <c r="AQ391" s="14"/>
    </row>
    <row r="392" spans="1:43" x14ac:dyDescent="0.2">
      <c r="A392" s="14"/>
      <c r="B392" s="14"/>
      <c r="C392" s="14"/>
      <c r="AQ392" s="14"/>
    </row>
    <row r="393" spans="1:43" x14ac:dyDescent="0.2">
      <c r="A393" s="14"/>
      <c r="B393" s="14"/>
      <c r="C393" s="14"/>
      <c r="AQ393" s="14"/>
    </row>
    <row r="394" spans="1:43" x14ac:dyDescent="0.2">
      <c r="A394" s="14"/>
      <c r="B394" s="14"/>
      <c r="C394" s="14"/>
      <c r="AQ394" s="14"/>
    </row>
    <row r="395" spans="1:43" x14ac:dyDescent="0.2">
      <c r="A395" s="14"/>
      <c r="B395" s="14"/>
      <c r="C395" s="14"/>
      <c r="AQ395" s="14"/>
    </row>
    <row r="396" spans="1:43" x14ac:dyDescent="0.2">
      <c r="A396" s="14"/>
      <c r="B396" s="14"/>
      <c r="C396" s="14"/>
      <c r="K396" s="14"/>
      <c r="L396" s="14"/>
      <c r="AQ396" s="14"/>
    </row>
    <row r="397" spans="1:43" x14ac:dyDescent="0.2">
      <c r="A397" s="14"/>
      <c r="B397" s="14"/>
      <c r="C397" s="14"/>
      <c r="AQ397" s="14"/>
    </row>
    <row r="398" spans="1:43" x14ac:dyDescent="0.2">
      <c r="A398" s="14"/>
      <c r="B398" s="14"/>
      <c r="C398" s="14"/>
      <c r="AQ398" s="14"/>
    </row>
    <row r="399" spans="1:43" x14ac:dyDescent="0.2">
      <c r="A399" s="14"/>
      <c r="B399" s="14"/>
      <c r="C399" s="14"/>
      <c r="AQ399" s="14"/>
    </row>
    <row r="400" spans="1:43" x14ac:dyDescent="0.2">
      <c r="A400" s="14"/>
      <c r="B400" s="14"/>
      <c r="C400" s="14"/>
      <c r="AQ400" s="14"/>
    </row>
    <row r="401" spans="1:43" x14ac:dyDescent="0.2">
      <c r="A401" s="14"/>
      <c r="B401" s="14"/>
      <c r="C401" s="14"/>
      <c r="AQ401" s="14"/>
    </row>
    <row r="402" spans="1:43" x14ac:dyDescent="0.2">
      <c r="A402" s="14"/>
      <c r="B402" s="14"/>
      <c r="C402" s="14"/>
      <c r="AQ402" s="14"/>
    </row>
    <row r="403" spans="1:43" x14ac:dyDescent="0.2">
      <c r="A403" s="14"/>
      <c r="B403" s="14"/>
      <c r="C403" s="14"/>
      <c r="AQ403" s="14"/>
    </row>
    <row r="404" spans="1:43" x14ac:dyDescent="0.2">
      <c r="A404" s="14"/>
      <c r="B404" s="14"/>
      <c r="C404" s="14"/>
      <c r="AQ404" s="14"/>
    </row>
    <row r="405" spans="1:43" x14ac:dyDescent="0.2">
      <c r="AQ405" s="14"/>
    </row>
    <row r="406" spans="1:43" x14ac:dyDescent="0.2">
      <c r="A406" s="14"/>
      <c r="B406" s="14"/>
      <c r="AQ406" s="14"/>
    </row>
    <row r="407" spans="1:43" x14ac:dyDescent="0.2">
      <c r="AM407" s="17"/>
      <c r="AN407" s="17"/>
      <c r="AO407" s="17"/>
      <c r="AP407" s="17"/>
      <c r="AQ407" s="14"/>
    </row>
    <row r="408" spans="1:43" x14ac:dyDescent="0.2">
      <c r="AQ408" s="14"/>
    </row>
    <row r="409" spans="1:43" x14ac:dyDescent="0.2">
      <c r="AQ409" s="14"/>
    </row>
    <row r="410" spans="1:43" x14ac:dyDescent="0.2">
      <c r="AQ410" s="14"/>
    </row>
    <row r="411" spans="1:43" x14ac:dyDescent="0.2">
      <c r="AQ411" s="14"/>
    </row>
    <row r="413" spans="1:43" x14ac:dyDescent="0.2">
      <c r="AM413" s="17"/>
      <c r="AN413" s="17"/>
      <c r="AO413" s="17"/>
      <c r="AP413" s="17"/>
    </row>
    <row r="417" spans="1:43" x14ac:dyDescent="0.2">
      <c r="H417" s="60"/>
      <c r="I417" s="60"/>
    </row>
    <row r="418" spans="1:43" x14ac:dyDescent="0.2">
      <c r="A418" s="41"/>
      <c r="B418" s="41"/>
      <c r="C418" s="15"/>
      <c r="D418" s="16"/>
      <c r="E418" s="16"/>
      <c r="F418" s="85"/>
      <c r="G418" s="72"/>
      <c r="J418" s="73"/>
      <c r="K418" s="43"/>
      <c r="L418" s="43"/>
      <c r="M418" s="11"/>
    </row>
    <row r="421" spans="1:43" x14ac:dyDescent="0.2">
      <c r="C421" s="14"/>
    </row>
    <row r="422" spans="1:43" x14ac:dyDescent="0.2">
      <c r="C422" s="14"/>
    </row>
    <row r="423" spans="1:43" x14ac:dyDescent="0.2">
      <c r="A423" s="14"/>
      <c r="B423" s="14"/>
      <c r="C423" s="14"/>
      <c r="AM423" s="17"/>
      <c r="AN423" s="17"/>
      <c r="AO423" s="17"/>
      <c r="AP423" s="17"/>
    </row>
    <row r="424" spans="1:43" x14ac:dyDescent="0.2">
      <c r="A424" s="14"/>
      <c r="B424" s="14"/>
      <c r="C424" s="14"/>
    </row>
    <row r="425" spans="1:43" s="16" customFormat="1" x14ac:dyDescent="0.2">
      <c r="A425" s="14"/>
      <c r="B425" s="14"/>
      <c r="C425" s="14"/>
      <c r="D425" s="14"/>
      <c r="E425" s="14"/>
      <c r="F425" s="78"/>
      <c r="G425" s="50"/>
      <c r="H425" s="39"/>
      <c r="I425" s="39"/>
      <c r="J425" s="14"/>
      <c r="K425" s="40"/>
      <c r="L425" s="40"/>
      <c r="M425" s="10"/>
      <c r="N425" s="10"/>
      <c r="O425" s="10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4"/>
      <c r="AB425" s="14"/>
      <c r="AC425" s="14"/>
      <c r="AD425" s="14"/>
      <c r="AE425" s="14"/>
      <c r="AF425" s="14"/>
      <c r="AG425" s="14"/>
      <c r="AH425" s="14"/>
      <c r="AI425" s="15"/>
      <c r="AJ425" s="15"/>
      <c r="AK425" s="15"/>
      <c r="AL425" s="15"/>
      <c r="AM425" s="15"/>
      <c r="AN425" s="15"/>
      <c r="AO425" s="15"/>
      <c r="AP425" s="15"/>
      <c r="AQ425" s="15"/>
    </row>
    <row r="426" spans="1:43" x14ac:dyDescent="0.2">
      <c r="A426" s="14"/>
      <c r="B426" s="14"/>
      <c r="C426" s="14"/>
      <c r="H426" s="42"/>
      <c r="I426" s="42"/>
    </row>
    <row r="427" spans="1:43" x14ac:dyDescent="0.2">
      <c r="A427" s="14"/>
      <c r="B427" s="14"/>
      <c r="C427" s="14"/>
      <c r="F427" s="79"/>
      <c r="G427" s="67"/>
      <c r="J427" s="16"/>
      <c r="K427" s="43"/>
      <c r="L427" s="43"/>
      <c r="M427" s="11"/>
    </row>
    <row r="428" spans="1:43" x14ac:dyDescent="0.2">
      <c r="A428" s="14"/>
      <c r="B428" s="14"/>
      <c r="C428" s="14"/>
      <c r="AQ428" s="14"/>
    </row>
    <row r="429" spans="1:43" x14ac:dyDescent="0.2">
      <c r="A429" s="14"/>
      <c r="B429" s="14"/>
      <c r="C429" s="14"/>
      <c r="AQ429" s="14"/>
    </row>
    <row r="430" spans="1:43" x14ac:dyDescent="0.2">
      <c r="A430" s="14"/>
      <c r="B430" s="14"/>
      <c r="C430" s="14"/>
      <c r="H430" s="42"/>
      <c r="I430" s="42"/>
      <c r="AQ430" s="14"/>
    </row>
    <row r="431" spans="1:43" x14ac:dyDescent="0.2">
      <c r="A431" s="14"/>
      <c r="B431" s="14"/>
      <c r="C431" s="14"/>
      <c r="F431" s="79"/>
      <c r="G431" s="67"/>
      <c r="J431" s="16"/>
      <c r="K431" s="43"/>
      <c r="L431" s="43"/>
      <c r="M431" s="11"/>
      <c r="AQ431" s="14"/>
    </row>
    <row r="432" spans="1:43" x14ac:dyDescent="0.2">
      <c r="A432" s="14"/>
      <c r="B432" s="14"/>
      <c r="C432" s="14"/>
      <c r="AQ432" s="14"/>
    </row>
    <row r="433" spans="1:43" x14ac:dyDescent="0.2">
      <c r="A433" s="14"/>
      <c r="B433" s="14"/>
      <c r="C433" s="14"/>
      <c r="AM433" s="17"/>
      <c r="AN433" s="17"/>
      <c r="AO433" s="17"/>
      <c r="AP433" s="17"/>
      <c r="AQ433" s="14"/>
    </row>
    <row r="434" spans="1:43" x14ac:dyDescent="0.2">
      <c r="A434" s="14"/>
      <c r="B434" s="14"/>
      <c r="C434" s="14"/>
      <c r="AQ434" s="14"/>
    </row>
    <row r="435" spans="1:43" x14ac:dyDescent="0.2">
      <c r="A435" s="14"/>
      <c r="B435" s="14"/>
      <c r="C435" s="14"/>
      <c r="K435" s="14"/>
      <c r="L435" s="14"/>
      <c r="AQ435" s="14"/>
    </row>
    <row r="436" spans="1:43" x14ac:dyDescent="0.2">
      <c r="A436" s="14"/>
      <c r="B436" s="14"/>
      <c r="C436" s="14"/>
      <c r="AQ436" s="14"/>
    </row>
    <row r="437" spans="1:43" x14ac:dyDescent="0.2">
      <c r="A437" s="14"/>
      <c r="B437" s="14"/>
      <c r="C437" s="14"/>
      <c r="AQ437" s="14"/>
    </row>
    <row r="438" spans="1:43" x14ac:dyDescent="0.2">
      <c r="A438" s="14"/>
      <c r="B438" s="14"/>
      <c r="C438" s="14"/>
      <c r="AQ438" s="14"/>
    </row>
    <row r="439" spans="1:43" x14ac:dyDescent="0.2">
      <c r="A439" s="14"/>
      <c r="B439" s="14"/>
      <c r="C439" s="14"/>
      <c r="K439" s="14"/>
      <c r="L439" s="14"/>
      <c r="AM439" s="17"/>
      <c r="AN439" s="17"/>
      <c r="AO439" s="17"/>
      <c r="AP439" s="17"/>
      <c r="AQ439" s="14"/>
    </row>
    <row r="440" spans="1:43" x14ac:dyDescent="0.2">
      <c r="A440" s="14"/>
      <c r="B440" s="14"/>
      <c r="C440" s="14"/>
      <c r="AQ440" s="14"/>
    </row>
    <row r="441" spans="1:43" x14ac:dyDescent="0.2">
      <c r="A441" s="14"/>
      <c r="B441" s="14"/>
      <c r="C441" s="14"/>
      <c r="K441" s="39"/>
      <c r="L441" s="39"/>
      <c r="AQ441" s="14"/>
    </row>
    <row r="442" spans="1:43" x14ac:dyDescent="0.2">
      <c r="A442" s="14"/>
      <c r="B442" s="14"/>
      <c r="C442" s="14"/>
      <c r="AM442" s="17"/>
      <c r="AN442" s="17"/>
      <c r="AO442" s="17"/>
      <c r="AP442" s="17"/>
      <c r="AQ442" s="14"/>
    </row>
    <row r="443" spans="1:43" x14ac:dyDescent="0.2">
      <c r="A443" s="14"/>
      <c r="B443" s="14"/>
      <c r="C443" s="14"/>
      <c r="K443" s="14"/>
      <c r="L443" s="14"/>
      <c r="AM443" s="17"/>
      <c r="AN443" s="17"/>
      <c r="AO443" s="17"/>
      <c r="AP443" s="17"/>
      <c r="AQ443" s="14"/>
    </row>
    <row r="444" spans="1:43" x14ac:dyDescent="0.2">
      <c r="A444" s="14"/>
      <c r="B444" s="14"/>
      <c r="C444" s="14"/>
      <c r="K444" s="14"/>
      <c r="L444" s="14"/>
      <c r="AM444" s="17"/>
      <c r="AN444" s="17"/>
      <c r="AO444" s="17"/>
      <c r="AP444" s="17"/>
      <c r="AQ444" s="14"/>
    </row>
    <row r="445" spans="1:43" x14ac:dyDescent="0.2">
      <c r="A445" s="14"/>
      <c r="B445" s="14"/>
      <c r="C445" s="14"/>
      <c r="AQ445" s="14"/>
    </row>
    <row r="446" spans="1:43" x14ac:dyDescent="0.2">
      <c r="A446" s="14"/>
      <c r="B446" s="14"/>
      <c r="C446" s="14"/>
      <c r="AQ446" s="14"/>
    </row>
    <row r="447" spans="1:43" x14ac:dyDescent="0.2">
      <c r="A447" s="14"/>
      <c r="B447" s="14"/>
      <c r="C447" s="14"/>
      <c r="AQ447" s="14"/>
    </row>
    <row r="448" spans="1:43" x14ac:dyDescent="0.2">
      <c r="A448" s="14"/>
      <c r="B448" s="14"/>
      <c r="C448" s="14"/>
      <c r="K448" s="14"/>
      <c r="L448" s="14"/>
      <c r="AQ448" s="14"/>
    </row>
    <row r="449" spans="1:43" x14ac:dyDescent="0.2">
      <c r="A449" s="14"/>
      <c r="B449" s="14"/>
      <c r="C449" s="14"/>
      <c r="AM449" s="17"/>
      <c r="AN449" s="17"/>
      <c r="AO449" s="17"/>
      <c r="AP449" s="17"/>
      <c r="AQ449" s="14"/>
    </row>
    <row r="450" spans="1:43" x14ac:dyDescent="0.2">
      <c r="A450" s="14"/>
      <c r="B450" s="14"/>
      <c r="C450" s="14"/>
      <c r="AQ450" s="14"/>
    </row>
    <row r="451" spans="1:43" x14ac:dyDescent="0.2">
      <c r="A451" s="14"/>
      <c r="B451" s="14"/>
      <c r="C451" s="14"/>
      <c r="K451" s="14"/>
      <c r="L451" s="14"/>
      <c r="AQ451" s="14"/>
    </row>
    <row r="452" spans="1:43" x14ac:dyDescent="0.2">
      <c r="A452" s="14"/>
      <c r="B452" s="14"/>
      <c r="C452" s="14"/>
      <c r="K452" s="14"/>
      <c r="L452" s="14"/>
      <c r="AQ452" s="14"/>
    </row>
    <row r="453" spans="1:43" x14ac:dyDescent="0.2">
      <c r="A453" s="14"/>
      <c r="B453" s="14"/>
      <c r="C453" s="14"/>
      <c r="K453" s="14"/>
      <c r="L453" s="14"/>
      <c r="AQ453" s="14"/>
    </row>
    <row r="454" spans="1:43" x14ac:dyDescent="0.2">
      <c r="A454" s="14"/>
      <c r="B454" s="14"/>
      <c r="C454" s="14"/>
      <c r="AQ454" s="14"/>
    </row>
    <row r="455" spans="1:43" x14ac:dyDescent="0.2">
      <c r="A455" s="14"/>
      <c r="B455" s="14"/>
      <c r="C455" s="14"/>
      <c r="AQ455" s="14"/>
    </row>
    <row r="456" spans="1:43" x14ac:dyDescent="0.2">
      <c r="A456" s="14"/>
      <c r="B456" s="14"/>
      <c r="C456" s="14"/>
      <c r="K456" s="14"/>
      <c r="L456" s="14"/>
      <c r="AM456" s="17"/>
      <c r="AN456" s="17"/>
      <c r="AO456" s="17"/>
      <c r="AP456" s="17"/>
      <c r="AQ456" s="14"/>
    </row>
    <row r="457" spans="1:43" x14ac:dyDescent="0.2">
      <c r="A457" s="14"/>
      <c r="B457" s="14"/>
      <c r="C457" s="14"/>
      <c r="AQ457" s="14"/>
    </row>
    <row r="458" spans="1:43" x14ac:dyDescent="0.2">
      <c r="A458" s="14"/>
      <c r="B458" s="14"/>
      <c r="C458" s="14"/>
      <c r="H458" s="42"/>
      <c r="I458" s="42"/>
      <c r="AQ458" s="14"/>
    </row>
    <row r="459" spans="1:43" x14ac:dyDescent="0.2">
      <c r="A459" s="14"/>
      <c r="B459" s="14"/>
      <c r="C459" s="14"/>
      <c r="AQ459" s="14"/>
    </row>
    <row r="460" spans="1:43" x14ac:dyDescent="0.2">
      <c r="A460" s="14"/>
      <c r="B460" s="14"/>
      <c r="C460" s="14"/>
      <c r="AQ460" s="14"/>
    </row>
    <row r="461" spans="1:43" x14ac:dyDescent="0.2">
      <c r="A461" s="14"/>
      <c r="B461" s="14"/>
      <c r="C461" s="14"/>
      <c r="AQ461" s="14"/>
    </row>
    <row r="462" spans="1:43" x14ac:dyDescent="0.2">
      <c r="A462" s="14"/>
      <c r="B462" s="14"/>
      <c r="C462" s="14"/>
      <c r="AQ462" s="14"/>
    </row>
    <row r="463" spans="1:43" x14ac:dyDescent="0.2">
      <c r="A463" s="14"/>
      <c r="B463" s="14"/>
      <c r="C463" s="14"/>
      <c r="K463" s="14"/>
      <c r="L463" s="14"/>
      <c r="AQ463" s="14"/>
    </row>
    <row r="464" spans="1:43" x14ac:dyDescent="0.2">
      <c r="A464" s="14"/>
      <c r="B464" s="14"/>
      <c r="C464" s="14"/>
      <c r="AQ464" s="14"/>
    </row>
    <row r="465" spans="1:43" x14ac:dyDescent="0.2">
      <c r="A465" s="14"/>
      <c r="B465" s="14"/>
      <c r="C465" s="14"/>
      <c r="K465" s="39"/>
      <c r="L465" s="39"/>
      <c r="AM465" s="17"/>
      <c r="AN465" s="17"/>
      <c r="AO465" s="17"/>
      <c r="AP465" s="17"/>
      <c r="AQ465" s="14"/>
    </row>
    <row r="466" spans="1:43" x14ac:dyDescent="0.2">
      <c r="A466" s="14"/>
      <c r="B466" s="14"/>
      <c r="C466" s="14"/>
      <c r="K466" s="39"/>
      <c r="L466" s="39"/>
      <c r="AQ466" s="14"/>
    </row>
    <row r="467" spans="1:43" x14ac:dyDescent="0.2">
      <c r="A467" s="14"/>
      <c r="B467" s="14"/>
      <c r="C467" s="14"/>
      <c r="K467" s="39"/>
      <c r="L467" s="39"/>
      <c r="AM467" s="17"/>
      <c r="AN467" s="17"/>
      <c r="AO467" s="17"/>
      <c r="AP467" s="17"/>
      <c r="AQ467" s="14"/>
    </row>
    <row r="468" spans="1:43" x14ac:dyDescent="0.2">
      <c r="A468" s="14"/>
      <c r="B468" s="14"/>
      <c r="C468" s="14"/>
      <c r="K468" s="39"/>
      <c r="L468" s="39"/>
      <c r="AQ468" s="14"/>
    </row>
    <row r="469" spans="1:43" x14ac:dyDescent="0.2">
      <c r="A469" s="14"/>
      <c r="B469" s="14"/>
      <c r="C469" s="14"/>
      <c r="K469" s="39"/>
      <c r="L469" s="39"/>
      <c r="AQ469" s="14"/>
    </row>
    <row r="470" spans="1:43" x14ac:dyDescent="0.2">
      <c r="A470" s="14"/>
      <c r="B470" s="14"/>
      <c r="C470" s="14"/>
      <c r="K470" s="39"/>
      <c r="L470" s="39"/>
      <c r="AQ470" s="14"/>
    </row>
    <row r="471" spans="1:43" x14ac:dyDescent="0.2">
      <c r="A471" s="14"/>
      <c r="B471" s="14"/>
      <c r="C471" s="14"/>
      <c r="K471" s="39"/>
      <c r="L471" s="39"/>
      <c r="AM471" s="17"/>
      <c r="AN471" s="17"/>
      <c r="AO471" s="17"/>
      <c r="AP471" s="17"/>
      <c r="AQ471" s="14"/>
    </row>
    <row r="472" spans="1:43" x14ac:dyDescent="0.2">
      <c r="A472" s="14"/>
      <c r="B472" s="14"/>
      <c r="C472" s="14"/>
      <c r="K472" s="39"/>
      <c r="L472" s="39"/>
      <c r="AQ472" s="14"/>
    </row>
    <row r="473" spans="1:43" x14ac:dyDescent="0.2">
      <c r="A473" s="14"/>
      <c r="B473" s="14"/>
      <c r="C473" s="14"/>
      <c r="K473" s="39"/>
      <c r="L473" s="39"/>
      <c r="AQ473" s="14"/>
    </row>
    <row r="474" spans="1:43" x14ac:dyDescent="0.2">
      <c r="A474" s="14"/>
      <c r="B474" s="14"/>
      <c r="C474" s="14"/>
      <c r="K474" s="39"/>
      <c r="L474" s="39"/>
      <c r="AQ474" s="14"/>
    </row>
    <row r="475" spans="1:43" x14ac:dyDescent="0.2">
      <c r="A475" s="14"/>
      <c r="B475" s="14"/>
      <c r="C475" s="14"/>
      <c r="K475" s="39"/>
      <c r="L475" s="39"/>
      <c r="AQ475" s="14"/>
    </row>
    <row r="476" spans="1:43" x14ac:dyDescent="0.2">
      <c r="A476" s="14"/>
      <c r="B476" s="14"/>
      <c r="C476" s="14"/>
      <c r="K476" s="39"/>
      <c r="L476" s="39"/>
      <c r="AI476" s="14"/>
      <c r="AJ476" s="14"/>
      <c r="AK476" s="14"/>
      <c r="AL476" s="14"/>
      <c r="AM476" s="14"/>
      <c r="AN476" s="14"/>
      <c r="AO476" s="14"/>
      <c r="AP476" s="14"/>
      <c r="AQ476" s="14"/>
    </row>
    <row r="477" spans="1:43" x14ac:dyDescent="0.2">
      <c r="A477" s="14"/>
      <c r="B477" s="14"/>
      <c r="C477" s="14"/>
      <c r="K477" s="39"/>
      <c r="L477" s="39"/>
      <c r="AI477" s="14"/>
      <c r="AJ477" s="14"/>
      <c r="AK477" s="14"/>
      <c r="AL477" s="14"/>
      <c r="AM477" s="14"/>
      <c r="AN477" s="14"/>
      <c r="AO477" s="14"/>
      <c r="AP477" s="14"/>
      <c r="AQ477" s="14"/>
    </row>
    <row r="478" spans="1:43" x14ac:dyDescent="0.2">
      <c r="A478" s="14"/>
      <c r="B478" s="14"/>
      <c r="C478" s="14"/>
      <c r="K478" s="39"/>
      <c r="L478" s="39"/>
      <c r="AI478" s="14"/>
      <c r="AJ478" s="14"/>
      <c r="AK478" s="14"/>
      <c r="AL478" s="14"/>
      <c r="AM478" s="14"/>
      <c r="AN478" s="14"/>
      <c r="AO478" s="14"/>
      <c r="AP478" s="14"/>
      <c r="AQ478" s="14"/>
    </row>
    <row r="479" spans="1:43" x14ac:dyDescent="0.2">
      <c r="A479" s="14"/>
      <c r="B479" s="14"/>
      <c r="C479" s="14"/>
      <c r="K479" s="39"/>
      <c r="L479" s="39"/>
      <c r="AI479" s="14"/>
      <c r="AJ479" s="14"/>
      <c r="AK479" s="14"/>
      <c r="AL479" s="14"/>
      <c r="AM479" s="14"/>
      <c r="AN479" s="14"/>
      <c r="AO479" s="14"/>
      <c r="AP479" s="14"/>
      <c r="AQ479" s="14"/>
    </row>
    <row r="480" spans="1:43" x14ac:dyDescent="0.2">
      <c r="A480" s="14"/>
      <c r="B480" s="14"/>
      <c r="C480" s="14"/>
      <c r="K480" s="14"/>
      <c r="L480" s="14"/>
      <c r="AI480" s="14"/>
      <c r="AJ480" s="14"/>
      <c r="AK480" s="14"/>
      <c r="AL480" s="14"/>
      <c r="AM480" s="14"/>
      <c r="AN480" s="14"/>
      <c r="AO480" s="14"/>
      <c r="AP480" s="14"/>
      <c r="AQ480" s="14"/>
    </row>
    <row r="481" spans="1:43" x14ac:dyDescent="0.2">
      <c r="A481" s="14"/>
      <c r="B481" s="14"/>
      <c r="C481" s="14"/>
      <c r="AI481" s="14"/>
      <c r="AJ481" s="14"/>
      <c r="AK481" s="14"/>
      <c r="AL481" s="14"/>
      <c r="AM481" s="14"/>
      <c r="AN481" s="14"/>
      <c r="AO481" s="14"/>
      <c r="AP481" s="14"/>
      <c r="AQ481" s="14"/>
    </row>
    <row r="482" spans="1:43" x14ac:dyDescent="0.2">
      <c r="A482" s="14"/>
      <c r="B482" s="14"/>
      <c r="C482" s="14"/>
      <c r="K482" s="14"/>
      <c r="L482" s="14"/>
      <c r="AI482" s="14"/>
      <c r="AJ482" s="14"/>
      <c r="AK482" s="14"/>
      <c r="AL482" s="14"/>
      <c r="AM482" s="14"/>
      <c r="AN482" s="14"/>
      <c r="AO482" s="14"/>
      <c r="AP482" s="14"/>
      <c r="AQ482" s="14"/>
    </row>
    <row r="483" spans="1:43" x14ac:dyDescent="0.2">
      <c r="A483" s="14"/>
      <c r="B483" s="14"/>
      <c r="C483" s="14"/>
      <c r="K483" s="14"/>
      <c r="L483" s="14"/>
      <c r="AI483" s="14"/>
      <c r="AJ483" s="14"/>
      <c r="AK483" s="14"/>
      <c r="AL483" s="14"/>
      <c r="AM483" s="14"/>
      <c r="AN483" s="14"/>
      <c r="AO483" s="14"/>
      <c r="AP483" s="14"/>
      <c r="AQ483" s="14"/>
    </row>
    <row r="484" spans="1:43" x14ac:dyDescent="0.2">
      <c r="A484" s="14"/>
      <c r="B484" s="14"/>
      <c r="C484" s="14"/>
      <c r="AI484" s="14"/>
      <c r="AJ484" s="14"/>
      <c r="AK484" s="14"/>
      <c r="AL484" s="14"/>
      <c r="AM484" s="14"/>
      <c r="AN484" s="14"/>
      <c r="AO484" s="14"/>
      <c r="AP484" s="14"/>
      <c r="AQ484" s="14"/>
    </row>
    <row r="485" spans="1:43" x14ac:dyDescent="0.2">
      <c r="A485" s="14"/>
      <c r="B485" s="14"/>
      <c r="C485" s="14"/>
      <c r="K485" s="14"/>
      <c r="L485" s="14"/>
      <c r="AI485" s="14"/>
      <c r="AJ485" s="14"/>
      <c r="AK485" s="14"/>
      <c r="AL485" s="14"/>
      <c r="AM485" s="14"/>
      <c r="AN485" s="14"/>
      <c r="AO485" s="14"/>
      <c r="AP485" s="14"/>
      <c r="AQ485" s="14"/>
    </row>
    <row r="486" spans="1:43" x14ac:dyDescent="0.2">
      <c r="A486" s="14"/>
      <c r="B486" s="14"/>
      <c r="C486" s="14"/>
      <c r="K486" s="14"/>
      <c r="L486" s="14"/>
      <c r="AI486" s="14"/>
      <c r="AJ486" s="14"/>
      <c r="AK486" s="14"/>
      <c r="AL486" s="14"/>
      <c r="AM486" s="14"/>
      <c r="AN486" s="14"/>
      <c r="AO486" s="14"/>
      <c r="AP486" s="14"/>
      <c r="AQ486" s="14"/>
    </row>
    <row r="487" spans="1:43" x14ac:dyDescent="0.2">
      <c r="A487" s="14"/>
      <c r="B487" s="14"/>
      <c r="C487" s="14"/>
      <c r="K487" s="14"/>
      <c r="L487" s="14"/>
      <c r="AI487" s="14"/>
      <c r="AJ487" s="14"/>
      <c r="AK487" s="14"/>
      <c r="AL487" s="14"/>
      <c r="AM487" s="14"/>
      <c r="AN487" s="14"/>
      <c r="AO487" s="14"/>
      <c r="AP487" s="14"/>
      <c r="AQ487" s="14"/>
    </row>
    <row r="488" spans="1:43" x14ac:dyDescent="0.2">
      <c r="A488" s="14"/>
      <c r="B488" s="14"/>
      <c r="C488" s="14"/>
      <c r="AI488" s="14"/>
      <c r="AJ488" s="14"/>
      <c r="AK488" s="14"/>
      <c r="AL488" s="14"/>
      <c r="AM488" s="14"/>
      <c r="AN488" s="14"/>
      <c r="AO488" s="14"/>
      <c r="AP488" s="14"/>
      <c r="AQ488" s="14"/>
    </row>
    <row r="489" spans="1:43" x14ac:dyDescent="0.2">
      <c r="A489" s="14"/>
      <c r="B489" s="14"/>
      <c r="C489" s="14"/>
      <c r="AI489" s="14"/>
      <c r="AJ489" s="14"/>
      <c r="AK489" s="14"/>
      <c r="AL489" s="14"/>
      <c r="AM489" s="14"/>
      <c r="AN489" s="14"/>
      <c r="AO489" s="14"/>
      <c r="AP489" s="14"/>
      <c r="AQ489" s="14"/>
    </row>
    <row r="490" spans="1:43" x14ac:dyDescent="0.2">
      <c r="A490" s="14"/>
      <c r="B490" s="14"/>
      <c r="C490" s="14"/>
      <c r="K490" s="39"/>
      <c r="L490" s="39"/>
      <c r="AI490" s="14"/>
      <c r="AJ490" s="14"/>
      <c r="AK490" s="14"/>
      <c r="AL490" s="14"/>
      <c r="AM490" s="14"/>
      <c r="AN490" s="14"/>
      <c r="AO490" s="14"/>
      <c r="AP490" s="14"/>
      <c r="AQ490" s="14"/>
    </row>
    <row r="491" spans="1:43" x14ac:dyDescent="0.2">
      <c r="A491" s="14"/>
      <c r="B491" s="14"/>
      <c r="C491" s="14"/>
      <c r="K491" s="39"/>
      <c r="L491" s="39"/>
      <c r="AI491" s="14"/>
      <c r="AJ491" s="14"/>
      <c r="AK491" s="14"/>
      <c r="AL491" s="14"/>
      <c r="AM491" s="14"/>
      <c r="AN491" s="14"/>
      <c r="AO491" s="14"/>
      <c r="AP491" s="14"/>
      <c r="AQ491" s="14"/>
    </row>
    <row r="492" spans="1:43" x14ac:dyDescent="0.2">
      <c r="A492" s="14"/>
      <c r="B492" s="14"/>
      <c r="C492" s="14"/>
      <c r="K492" s="39"/>
      <c r="L492" s="39"/>
      <c r="AQ492" s="14"/>
    </row>
    <row r="493" spans="1:43" x14ac:dyDescent="0.2">
      <c r="A493" s="14"/>
      <c r="B493" s="14"/>
      <c r="C493" s="14"/>
      <c r="AQ493" s="14"/>
    </row>
    <row r="494" spans="1:43" x14ac:dyDescent="0.2">
      <c r="A494" s="14"/>
      <c r="B494" s="14"/>
      <c r="C494" s="14"/>
      <c r="AQ494" s="14"/>
    </row>
    <row r="495" spans="1:43" x14ac:dyDescent="0.2">
      <c r="A495" s="14"/>
      <c r="B495" s="14"/>
      <c r="C495" s="14"/>
      <c r="AM495" s="17"/>
      <c r="AN495" s="17"/>
      <c r="AO495" s="17"/>
      <c r="AP495" s="17"/>
      <c r="AQ495" s="14"/>
    </row>
    <row r="496" spans="1:43" x14ac:dyDescent="0.2">
      <c r="A496" s="14"/>
      <c r="B496" s="14"/>
      <c r="C496" s="14"/>
      <c r="AQ496" s="14"/>
    </row>
    <row r="497" spans="1:43" x14ac:dyDescent="0.2">
      <c r="A497" s="14"/>
      <c r="B497" s="14"/>
      <c r="C497" s="14"/>
      <c r="AQ497" s="14"/>
    </row>
    <row r="498" spans="1:43" x14ac:dyDescent="0.2">
      <c r="A498" s="14"/>
      <c r="B498" s="14"/>
      <c r="C498" s="14"/>
      <c r="AQ498" s="14"/>
    </row>
    <row r="499" spans="1:43" x14ac:dyDescent="0.2">
      <c r="A499" s="14"/>
      <c r="B499" s="14"/>
      <c r="C499" s="14"/>
      <c r="AQ499" s="14"/>
    </row>
    <row r="500" spans="1:43" x14ac:dyDescent="0.2">
      <c r="A500" s="14"/>
      <c r="B500" s="14"/>
      <c r="C500" s="14"/>
      <c r="AQ500" s="14"/>
    </row>
    <row r="501" spans="1:43" x14ac:dyDescent="0.2">
      <c r="A501" s="14"/>
      <c r="B501" s="14"/>
      <c r="C501" s="14"/>
      <c r="X501" s="15"/>
      <c r="Y501" s="15"/>
      <c r="Z501" s="15"/>
      <c r="AQ501" s="14"/>
    </row>
    <row r="502" spans="1:43" x14ac:dyDescent="0.2">
      <c r="A502" s="14"/>
      <c r="B502" s="14"/>
      <c r="C502" s="14"/>
      <c r="P502" s="15"/>
      <c r="Q502" s="15"/>
      <c r="R502" s="15"/>
      <c r="S502" s="15"/>
      <c r="T502" s="15"/>
      <c r="U502" s="15"/>
      <c r="V502" s="15"/>
      <c r="W502" s="15"/>
      <c r="AQ502" s="14"/>
    </row>
    <row r="503" spans="1:43" x14ac:dyDescent="0.2">
      <c r="A503" s="14"/>
      <c r="B503" s="14"/>
      <c r="C503" s="14"/>
      <c r="AQ503" s="14"/>
    </row>
    <row r="504" spans="1:43" x14ac:dyDescent="0.2">
      <c r="A504" s="14"/>
      <c r="B504" s="14"/>
      <c r="C504" s="14"/>
      <c r="AQ504" s="14"/>
    </row>
    <row r="505" spans="1:43" x14ac:dyDescent="0.2">
      <c r="A505" s="14"/>
      <c r="B505" s="14"/>
      <c r="C505" s="14"/>
      <c r="AQ505" s="14"/>
    </row>
    <row r="506" spans="1:43" x14ac:dyDescent="0.2">
      <c r="A506" s="14"/>
      <c r="B506" s="14"/>
      <c r="C506" s="14"/>
      <c r="AQ506" s="14"/>
    </row>
    <row r="507" spans="1:43" x14ac:dyDescent="0.2">
      <c r="A507" s="14"/>
      <c r="B507" s="14"/>
      <c r="C507" s="14"/>
      <c r="AQ507" s="14"/>
    </row>
    <row r="508" spans="1:43" x14ac:dyDescent="0.2">
      <c r="A508" s="14"/>
      <c r="B508" s="14"/>
      <c r="C508" s="14"/>
      <c r="AA508" s="16"/>
      <c r="AB508" s="16"/>
      <c r="AC508" s="16"/>
      <c r="AD508" s="16"/>
      <c r="AE508" s="16"/>
      <c r="AF508" s="16"/>
      <c r="AG508" s="16"/>
      <c r="AQ508" s="14"/>
    </row>
    <row r="509" spans="1:43" x14ac:dyDescent="0.2">
      <c r="A509" s="14"/>
      <c r="B509" s="14"/>
      <c r="C509" s="14"/>
      <c r="AH509" s="16"/>
      <c r="AQ509" s="14"/>
    </row>
    <row r="510" spans="1:43" x14ac:dyDescent="0.2">
      <c r="A510" s="14"/>
      <c r="B510" s="14"/>
      <c r="C510" s="14"/>
      <c r="AQ510" s="14"/>
    </row>
    <row r="511" spans="1:43" x14ac:dyDescent="0.2">
      <c r="A511" s="14"/>
      <c r="B511" s="14"/>
      <c r="C511" s="14"/>
      <c r="AQ511" s="14"/>
    </row>
    <row r="512" spans="1:43" x14ac:dyDescent="0.2">
      <c r="A512" s="14"/>
      <c r="B512" s="14"/>
      <c r="C512" s="14"/>
      <c r="AQ512" s="14"/>
    </row>
    <row r="513" spans="1:43" x14ac:dyDescent="0.2">
      <c r="A513" s="14"/>
      <c r="B513" s="14"/>
      <c r="C513" s="14"/>
      <c r="AQ513" s="14"/>
    </row>
    <row r="514" spans="1:43" x14ac:dyDescent="0.2">
      <c r="A514" s="14"/>
      <c r="B514" s="14"/>
      <c r="C514" s="14"/>
      <c r="AQ514" s="14"/>
    </row>
    <row r="515" spans="1:43" x14ac:dyDescent="0.2">
      <c r="A515" s="14"/>
      <c r="B515" s="14"/>
      <c r="C515" s="14"/>
      <c r="AQ515" s="14"/>
    </row>
    <row r="516" spans="1:43" x14ac:dyDescent="0.2">
      <c r="A516" s="14"/>
      <c r="B516" s="14"/>
      <c r="C516" s="14"/>
      <c r="AQ516" s="14"/>
    </row>
    <row r="517" spans="1:43" x14ac:dyDescent="0.2">
      <c r="A517" s="14"/>
      <c r="B517" s="14"/>
      <c r="C517" s="14"/>
      <c r="AQ517" s="14"/>
    </row>
    <row r="518" spans="1:43" x14ac:dyDescent="0.2">
      <c r="A518" s="14"/>
      <c r="B518" s="14"/>
      <c r="C518" s="14"/>
      <c r="AQ518" s="14"/>
    </row>
    <row r="519" spans="1:43" x14ac:dyDescent="0.2">
      <c r="A519" s="14"/>
      <c r="B519" s="14"/>
      <c r="C519" s="14"/>
      <c r="AQ519" s="14"/>
    </row>
    <row r="520" spans="1:43" x14ac:dyDescent="0.2">
      <c r="A520" s="14"/>
      <c r="B520" s="14"/>
      <c r="C520" s="14"/>
      <c r="AQ520" s="14"/>
    </row>
    <row r="521" spans="1:43" x14ac:dyDescent="0.2">
      <c r="A521" s="14"/>
      <c r="B521" s="14"/>
      <c r="C521" s="14"/>
      <c r="AQ521" s="14"/>
    </row>
    <row r="522" spans="1:43" x14ac:dyDescent="0.2">
      <c r="A522" s="14"/>
      <c r="B522" s="14"/>
      <c r="C522" s="14"/>
      <c r="AQ522" s="14"/>
    </row>
    <row r="523" spans="1:43" x14ac:dyDescent="0.2">
      <c r="A523" s="14"/>
      <c r="B523" s="14"/>
      <c r="C523" s="14"/>
      <c r="AQ523" s="14"/>
    </row>
    <row r="524" spans="1:43" x14ac:dyDescent="0.2">
      <c r="A524" s="14"/>
      <c r="B524" s="14"/>
      <c r="C524" s="14"/>
      <c r="AQ524" s="14"/>
    </row>
    <row r="525" spans="1:43" x14ac:dyDescent="0.2">
      <c r="A525" s="14"/>
      <c r="B525" s="14"/>
      <c r="C525" s="14"/>
      <c r="AQ525" s="14"/>
    </row>
    <row r="526" spans="1:43" x14ac:dyDescent="0.2">
      <c r="A526" s="14"/>
      <c r="B526" s="14"/>
      <c r="C526" s="14"/>
      <c r="AQ526" s="14"/>
    </row>
    <row r="527" spans="1:43" x14ac:dyDescent="0.2">
      <c r="A527" s="14"/>
      <c r="B527" s="14"/>
      <c r="C527" s="14"/>
      <c r="AM527" s="17"/>
      <c r="AN527" s="17"/>
      <c r="AO527" s="17"/>
      <c r="AP527" s="17"/>
      <c r="AQ527" s="14"/>
    </row>
    <row r="528" spans="1:43" x14ac:dyDescent="0.2">
      <c r="A528" s="14"/>
      <c r="B528" s="14"/>
      <c r="C528" s="14"/>
      <c r="AM528" s="17"/>
      <c r="AN528" s="17"/>
      <c r="AO528" s="17"/>
      <c r="AP528" s="17"/>
      <c r="AQ528" s="14"/>
    </row>
    <row r="529" spans="1:43" x14ac:dyDescent="0.2">
      <c r="A529" s="14"/>
      <c r="B529" s="14"/>
      <c r="C529" s="14"/>
      <c r="AM529" s="1"/>
      <c r="AN529" s="1"/>
      <c r="AO529" s="1"/>
      <c r="AP529" s="1"/>
      <c r="AQ529" s="14"/>
    </row>
    <row r="530" spans="1:43" x14ac:dyDescent="0.2">
      <c r="A530" s="14"/>
      <c r="B530" s="14"/>
      <c r="C530" s="14"/>
      <c r="AM530" s="1"/>
      <c r="AN530" s="1"/>
      <c r="AO530" s="1"/>
      <c r="AP530" s="1"/>
      <c r="AQ530" s="14"/>
    </row>
    <row r="531" spans="1:43" x14ac:dyDescent="0.2">
      <c r="A531" s="14"/>
      <c r="B531" s="14"/>
      <c r="C531" s="14"/>
      <c r="AM531" s="1"/>
      <c r="AN531" s="1"/>
      <c r="AO531" s="1"/>
      <c r="AP531" s="1"/>
      <c r="AQ531" s="14"/>
    </row>
    <row r="532" spans="1:43" x14ac:dyDescent="0.2">
      <c r="A532" s="14"/>
      <c r="B532" s="14"/>
      <c r="C532" s="14"/>
      <c r="AM532" s="1"/>
      <c r="AN532" s="1"/>
      <c r="AO532" s="1"/>
      <c r="AP532" s="1"/>
      <c r="AQ532" s="14"/>
    </row>
    <row r="533" spans="1:43" x14ac:dyDescent="0.2">
      <c r="A533" s="14"/>
      <c r="B533" s="14"/>
      <c r="C533" s="14"/>
      <c r="AM533" s="17"/>
      <c r="AN533" s="17"/>
      <c r="AO533" s="17"/>
      <c r="AP533" s="17"/>
      <c r="AQ533" s="14"/>
    </row>
    <row r="534" spans="1:43" x14ac:dyDescent="0.2">
      <c r="A534" s="14"/>
      <c r="B534" s="14"/>
      <c r="C534" s="14"/>
      <c r="AM534" s="17"/>
      <c r="AN534" s="17"/>
      <c r="AO534" s="17"/>
      <c r="AP534" s="17"/>
      <c r="AQ534" s="14"/>
    </row>
    <row r="535" spans="1:43" x14ac:dyDescent="0.2">
      <c r="C535" s="14"/>
      <c r="AM535" s="17"/>
      <c r="AN535" s="17"/>
      <c r="AO535" s="17"/>
      <c r="AP535" s="17"/>
      <c r="AQ535" s="14"/>
    </row>
    <row r="536" spans="1:43" x14ac:dyDescent="0.2">
      <c r="C536" s="14"/>
      <c r="AM536" s="17"/>
      <c r="AN536" s="17"/>
      <c r="AO536" s="17"/>
      <c r="AP536" s="17"/>
      <c r="AQ536" s="14"/>
    </row>
    <row r="537" spans="1:43" x14ac:dyDescent="0.2">
      <c r="C537" s="14"/>
      <c r="AM537" s="17"/>
      <c r="AN537" s="17"/>
      <c r="AO537" s="17"/>
      <c r="AP537" s="17"/>
      <c r="AQ537" s="14"/>
    </row>
    <row r="538" spans="1:43" x14ac:dyDescent="0.2">
      <c r="C538" s="14"/>
      <c r="AM538" s="17"/>
      <c r="AN538" s="17"/>
      <c r="AO538" s="17"/>
      <c r="AP538" s="17"/>
      <c r="AQ538" s="14"/>
    </row>
    <row r="539" spans="1:43" x14ac:dyDescent="0.2">
      <c r="C539" s="14"/>
      <c r="AM539" s="17"/>
      <c r="AN539" s="17"/>
      <c r="AO539" s="17"/>
      <c r="AP539" s="17"/>
      <c r="AQ539" s="14"/>
    </row>
    <row r="540" spans="1:43" x14ac:dyDescent="0.2">
      <c r="AM540" s="17"/>
      <c r="AN540" s="17"/>
      <c r="AO540" s="17"/>
      <c r="AP540" s="17"/>
      <c r="AQ540" s="14"/>
    </row>
    <row r="541" spans="1:43" x14ac:dyDescent="0.2">
      <c r="AM541" s="17"/>
      <c r="AN541" s="17"/>
      <c r="AO541" s="17"/>
      <c r="AP541" s="17"/>
      <c r="AQ541" s="14"/>
    </row>
    <row r="542" spans="1:43" x14ac:dyDescent="0.2">
      <c r="AM542" s="17"/>
      <c r="AN542" s="17"/>
      <c r="AO542" s="17"/>
      <c r="AP542" s="17"/>
      <c r="AQ542" s="14"/>
    </row>
    <row r="543" spans="1:43" x14ac:dyDescent="0.2">
      <c r="H543" s="42"/>
      <c r="I543" s="42"/>
      <c r="K543" s="74"/>
      <c r="L543" s="74"/>
      <c r="N543" s="11"/>
      <c r="O543" s="103"/>
      <c r="AQ543" s="14"/>
    </row>
    <row r="544" spans="1:43" x14ac:dyDescent="0.2">
      <c r="A544" s="41"/>
      <c r="B544" s="41"/>
      <c r="C544" s="15"/>
      <c r="D544" s="44"/>
      <c r="E544" s="44"/>
      <c r="F544" s="79"/>
      <c r="G544" s="67"/>
      <c r="J544" s="16"/>
      <c r="K544" s="43"/>
      <c r="L544" s="43"/>
      <c r="M544" s="11"/>
      <c r="N544" s="11"/>
      <c r="O544" s="103"/>
      <c r="AQ544" s="14"/>
    </row>
    <row r="545" spans="1:44" x14ac:dyDescent="0.2">
      <c r="AQ545" s="14"/>
    </row>
    <row r="546" spans="1:44" x14ac:dyDescent="0.2">
      <c r="AQ546" s="14"/>
    </row>
    <row r="548" spans="1:44" x14ac:dyDescent="0.2">
      <c r="N548" s="11"/>
      <c r="O548" s="103"/>
    </row>
    <row r="551" spans="1:44" s="16" customFormat="1" x14ac:dyDescent="0.2">
      <c r="A551" s="38"/>
      <c r="B551" s="38"/>
      <c r="C551" s="13"/>
      <c r="D551" s="14"/>
      <c r="E551" s="14"/>
      <c r="F551" s="78"/>
      <c r="G551" s="50"/>
      <c r="H551" s="39"/>
      <c r="I551" s="39"/>
      <c r="J551" s="14"/>
      <c r="K551" s="40"/>
      <c r="L551" s="40"/>
      <c r="M551" s="10"/>
      <c r="N551" s="10"/>
      <c r="O551" s="102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4"/>
      <c r="AB551" s="14"/>
      <c r="AC551" s="14"/>
      <c r="AD551" s="14"/>
      <c r="AE551" s="14"/>
      <c r="AF551" s="14"/>
      <c r="AG551" s="14"/>
      <c r="AH551" s="14"/>
      <c r="AI551" s="15"/>
      <c r="AJ551" s="15"/>
      <c r="AK551" s="15"/>
      <c r="AL551" s="15"/>
      <c r="AM551" s="15"/>
      <c r="AN551" s="15"/>
      <c r="AO551" s="15"/>
      <c r="AP551" s="15"/>
      <c r="AQ551" s="15"/>
      <c r="AR551" s="44"/>
    </row>
  </sheetData>
  <mergeCells count="3">
    <mergeCell ref="A1:N1"/>
    <mergeCell ref="AG2:AQ2"/>
    <mergeCell ref="A3:E3"/>
  </mergeCells>
  <dataValidations count="6">
    <dataValidation type="list" allowBlank="1" showInputMessage="1" showErrorMessage="1" sqref="H6:H261" xr:uid="{00000000-0002-0000-0200-000000000000}">
      <formula1>$H$6:$H$261</formula1>
    </dataValidation>
    <dataValidation type="list" allowBlank="1" showInputMessage="1" showErrorMessage="1" sqref="I7:I8 I10:I11" xr:uid="{00000000-0002-0000-0200-000001000000}">
      <formula1>$I$6:$I$11</formula1>
    </dataValidation>
    <dataValidation type="list" allowBlank="1" showInputMessage="1" showErrorMessage="1" sqref="I9 I6 I12:I261" xr:uid="{00000000-0002-0000-0200-000002000000}">
      <formula1>$I$6:$I$261</formula1>
    </dataValidation>
    <dataValidation type="list" allowBlank="1" showInputMessage="1" showErrorMessage="1" sqref="K6:K261" xr:uid="{00000000-0002-0000-0200-000003000000}">
      <formula1>$K$6:$K$261</formula1>
    </dataValidation>
    <dataValidation type="list" allowBlank="1" showInputMessage="1" showErrorMessage="1" sqref="L6:L261" xr:uid="{00000000-0002-0000-0200-000004000000}">
      <formula1>$L$6:$L$261</formula1>
    </dataValidation>
    <dataValidation type="list" allowBlank="1" showInputMessage="1" showErrorMessage="1" sqref="E6:E261" xr:uid="{00000000-0002-0000-0200-000005000000}">
      <formula1>$E$6:$E$261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Construction Accounting</vt:lpstr>
      <vt:lpstr>Sheet1</vt:lpstr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2026-03-27T06:05:18Z</cp:lastPrinted>
  <dcterms:created xsi:type="dcterms:W3CDTF">2020-12-11T18:06:23Z</dcterms:created>
  <dcterms:modified xsi:type="dcterms:W3CDTF">2026-07-07T12:36:32Z</dcterms:modified>
</cp:coreProperties>
</file>